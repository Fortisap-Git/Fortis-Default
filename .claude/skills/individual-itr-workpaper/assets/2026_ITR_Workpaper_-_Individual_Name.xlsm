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fortisap-my.sharepoint.com/personal/jake_fortisap_com_au/Documents/Desktop/Workpaper/"/>
    </mc:Choice>
  </mc:AlternateContent>
  <xr:revisionPtr revIDLastSave="27" documentId="13_ncr:1_{70DBF831-9D0F-4300-853A-6C492B7C5C84}" xr6:coauthVersionLast="47" xr6:coauthVersionMax="47" xr10:uidLastSave="{A1E31FC7-9B2E-476F-9605-083B080CA602}"/>
  <bookViews>
    <workbookView xWindow="28680" yWindow="1725" windowWidth="29040" windowHeight="15720" tabRatio="862" activeTab="2" xr2:uid="{00000000-000D-0000-FFFF-FFFF00000000}"/>
  </bookViews>
  <sheets>
    <sheet name="Review Notes" sheetId="19" r:id="rId1"/>
    <sheet name="Queries" sheetId="20" r:id="rId2"/>
    <sheet name="Summary - 1 Client name " sheetId="21" r:id="rId3"/>
    <sheet name="Deductions - 1 Client name " sheetId="26" r:id="rId4"/>
    <sheet name="Distributions" sheetId="30" state="hidden" r:id="rId5"/>
    <sheet name="Summary - 2 Client name " sheetId="39" r:id="rId6"/>
    <sheet name="Deductions - 2 Client name " sheetId="40" r:id="rId7"/>
    <sheet name="Home Office Expenses" sheetId="29" r:id="rId8"/>
    <sheet name="Depreciation schedule" sheetId="42" r:id="rId9"/>
    <sheet name="Dividend Summary Ind" sheetId="10" state="hidden" r:id="rId10"/>
    <sheet name="Income" sheetId="22" state="hidden" r:id="rId11"/>
    <sheet name="Share Register" sheetId="15" state="hidden" r:id="rId12"/>
    <sheet name="Motor Vehicle " sheetId="17" state="hidden" r:id="rId13"/>
    <sheet name="Business Summary" sheetId="5" r:id="rId14"/>
    <sheet name="Rental Property" sheetId="36" r:id="rId15"/>
    <sheet name="CGT Summary" sheetId="41" r:id="rId16"/>
    <sheet name="CGT Property" sheetId="35" r:id="rId17"/>
    <sheet name="Other Reconciliation" sheetId="33" state="hidden" r:id="rId18"/>
    <sheet name="Dividend Summary Joint" sheetId="9" state="hidden" r:id="rId19"/>
    <sheet name="BAS Summary" sheetId="34" state="hidden" r:id="rId20"/>
    <sheet name="Client Data" sheetId="31" r:id="rId21"/>
    <sheet name="Foreign Income" sheetId="24" state="hidden" r:id="rId22"/>
  </sheets>
  <externalReferences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</externalReferences>
  <definedNames>
    <definedName name="\P" localSheetId="16">#REF!</definedName>
    <definedName name="\P" localSheetId="14">#REF!</definedName>
    <definedName name="\P">#REF!</definedName>
    <definedName name="___Mth1" localSheetId="16">#REF!</definedName>
    <definedName name="___Mth1" localSheetId="14">#REF!</definedName>
    <definedName name="___Mth1">#REF!</definedName>
    <definedName name="___Mth2" localSheetId="16">#REF!</definedName>
    <definedName name="___Mth2" localSheetId="14">#REF!</definedName>
    <definedName name="___Mth2">#REF!</definedName>
    <definedName name="___Mth3" localSheetId="16">#REF!</definedName>
    <definedName name="___Mth3">#REF!</definedName>
    <definedName name="___Qtr1" localSheetId="16">#REF!</definedName>
    <definedName name="___Qtr1">#REF!</definedName>
    <definedName name="___Qtr3" localSheetId="16">#REF!</definedName>
    <definedName name="___Qtr3">#REF!</definedName>
    <definedName name="__Mth1" localSheetId="16">#REF!</definedName>
    <definedName name="__Mth1">#REF!</definedName>
    <definedName name="__Mth2" localSheetId="16">#REF!</definedName>
    <definedName name="__Mth2">#REF!</definedName>
    <definedName name="__Mth3" localSheetId="16">#REF!</definedName>
    <definedName name="__Mth3">#REF!</definedName>
    <definedName name="__Qtr1" localSheetId="16">#REF!</definedName>
    <definedName name="__Qtr1">#REF!</definedName>
    <definedName name="__Qtr3" localSheetId="16">#REF!</definedName>
    <definedName name="__Qtr3">#REF!</definedName>
    <definedName name="_Order1" hidden="1">255</definedName>
    <definedName name="ABCBN" hidden="1">"f7aac2d8-bcb2-4ce1-94ba-d8acbf3f4d4d"</definedName>
    <definedName name="Acqdate">'[1]10 rental'!$K:$K</definedName>
    <definedName name="acquisition_purchase_no">'[2]Planning Memo'!#REF!</definedName>
    <definedName name="acquisition_sale_no">'[2]Planning Memo'!#REF!</definedName>
    <definedName name="Action" localSheetId="16">#REF!</definedName>
    <definedName name="Action" localSheetId="14">#REF!</definedName>
    <definedName name="Action">#REF!</definedName>
    <definedName name="Actions" localSheetId="16">#REF!</definedName>
    <definedName name="Actions" localSheetId="14">#REF!</definedName>
    <definedName name="Actions">#REF!</definedName>
    <definedName name="ActualNumberOfPayments" localSheetId="16">IFERROR(IF('CGT Property'!LoanIsGood,IF('CGT Property'!PaymentsPerYear=1,1,MATCH(0.01,'CGT Property'!End_Bal,-1)+1)),"")</definedName>
    <definedName name="ActualNumberOfPayments" localSheetId="14">IFERROR(IF('Rental Property'!LoanIsGood,IF(PaymentsPerYear=1,1,MATCH(0.01,'Rental Property'!End_Bal,-1)+1)),"")</definedName>
    <definedName name="ActualNumberOfPayments">IFERROR(IF(LoanIsGood,IF(PaymentsPerYear=1,1,MATCH(0.01,End_Bal,-1)+1)),"")</definedName>
    <definedName name="Addition">'[1]10 rental'!$L:$L</definedName>
    <definedName name="AddWorkpaper">INDIRECT(_xll.CurrentCell())</definedName>
    <definedName name="AllTransactions" localSheetId="16">#REF!</definedName>
    <definedName name="AllTransactions" localSheetId="14">#REF!</definedName>
    <definedName name="AllTransactions">#REF!</definedName>
    <definedName name="Amort_column" localSheetId="16">#REF!</definedName>
    <definedName name="Amort_column" localSheetId="14">#REF!</definedName>
    <definedName name="Amort_column">#REF!</definedName>
    <definedName name="Amount" localSheetId="16">#REF!</definedName>
    <definedName name="Amount" localSheetId="14">#REF!</definedName>
    <definedName name="Amount">#REF!</definedName>
    <definedName name="amount_financed" localSheetId="16">'[3]Data Entry'!#REF!</definedName>
    <definedName name="amount_financed" localSheetId="14">'[3]Data Entry'!#REF!</definedName>
    <definedName name="amount_financed">'[3]Data Entry'!#REF!</definedName>
    <definedName name="Amounts">[4]AllTrans!$M$2:$M$4501</definedName>
    <definedName name="Annual_interest_rate" localSheetId="16">#REF!</definedName>
    <definedName name="Annual_interest_rate" localSheetId="14">#REF!</definedName>
    <definedName name="Annual_interest_rate">#REF!</definedName>
    <definedName name="APR" localSheetId="16">#REF!</definedName>
    <definedName name="APR">#REF!</definedName>
    <definedName name="AprAllRep" localSheetId="16">#REF!,#REF!</definedName>
    <definedName name="AprAllRep">#REF!,#REF!</definedName>
    <definedName name="AprApp2Bal" localSheetId="16">#REF!</definedName>
    <definedName name="AprApp2Bal">#REF!</definedName>
    <definedName name="AprApp2OB" localSheetId="16">#REF!</definedName>
    <definedName name="AprApp2OB">#REF!</definedName>
    <definedName name="AprApp2Share" localSheetId="16">#REF!</definedName>
    <definedName name="AprApp2Share">#REF!</definedName>
    <definedName name="AprApp3Bal" localSheetId="16">#REF!</definedName>
    <definedName name="AprApp3Bal">#REF!</definedName>
    <definedName name="AprApp3OB" localSheetId="16">#REF!</definedName>
    <definedName name="AprApp3OB">#REF!</definedName>
    <definedName name="AprApp3Share" localSheetId="16">#REF!</definedName>
    <definedName name="AprApp3Share">#REF!</definedName>
    <definedName name="AprApp4Bal" localSheetId="16">#REF!</definedName>
    <definedName name="AprApp4Bal">#REF!</definedName>
    <definedName name="AprApp4OB" localSheetId="16">#REF!</definedName>
    <definedName name="AprApp4OB">#REF!</definedName>
    <definedName name="AprApp4Share" localSheetId="16">#REF!</definedName>
    <definedName name="AprApp4Share">#REF!</definedName>
    <definedName name="AprApp5Bal" localSheetId="16">#REF!</definedName>
    <definedName name="AprApp5Bal">#REF!</definedName>
    <definedName name="AprApp5OB" localSheetId="16">#REF!</definedName>
    <definedName name="AprApp5OB">#REF!</definedName>
    <definedName name="AprApp5Share" localSheetId="16">#REF!</definedName>
    <definedName name="AprApp5Share">#REF!</definedName>
    <definedName name="AprApp6Bal" localSheetId="16">#REF!</definedName>
    <definedName name="AprApp6Bal">#REF!</definedName>
    <definedName name="AprApp6OB" localSheetId="16">#REF!</definedName>
    <definedName name="AprApp6OB">#REF!</definedName>
    <definedName name="AprApp6Share" localSheetId="16">#REF!</definedName>
    <definedName name="AprApp6Share">#REF!</definedName>
    <definedName name="AprBal" localSheetId="16">#REF!</definedName>
    <definedName name="AprBal">#REF!</definedName>
    <definedName name="AprBP" localSheetId="16">#REF!</definedName>
    <definedName name="AprBP">#REF!</definedName>
    <definedName name="AprBusDraw" localSheetId="16">#REF!</definedName>
    <definedName name="AprBusDraw">#REF!</definedName>
    <definedName name="AprBusDrawApp" localSheetId="16">#REF!</definedName>
    <definedName name="AprBusDrawApp">#REF!</definedName>
    <definedName name="AprFees" localSheetId="16">#REF!</definedName>
    <definedName name="AprFees">#REF!</definedName>
    <definedName name="AprGenRep" localSheetId="16">#REF!</definedName>
    <definedName name="AprGenRep">#REF!</definedName>
    <definedName name="AprInt" localSheetId="16">#REF!</definedName>
    <definedName name="AprInt">#REF!</definedName>
    <definedName name="AprOB" localSheetId="16">#REF!</definedName>
    <definedName name="AprOB">#REF!</definedName>
    <definedName name="AprOpenBP" localSheetId="16">#REF!</definedName>
    <definedName name="AprOpenBP">#REF!</definedName>
    <definedName name="AprPersBal" localSheetId="16">#REF!</definedName>
    <definedName name="AprPersBal">#REF!</definedName>
    <definedName name="AprPersDraw" localSheetId="16">#REF!</definedName>
    <definedName name="AprPersDraw">#REF!</definedName>
    <definedName name="AprPersOB" localSheetId="16">#REF!</definedName>
    <definedName name="AprPersOB">#REF!</definedName>
    <definedName name="AprPersShare" localSheetId="16">#REF!</definedName>
    <definedName name="AprPersShare">#REF!</definedName>
    <definedName name="AprSpecRep" localSheetId="16">#REF!</definedName>
    <definedName name="AprSpecRep">#REF!</definedName>
    <definedName name="AprSpecRepApp" localSheetId="16">#REF!</definedName>
    <definedName name="AprSpecRepApp">#REF!</definedName>
    <definedName name="AQ_DISP" localSheetId="16">#REF!</definedName>
    <definedName name="AQ_DISP" localSheetId="14">#REF!</definedName>
    <definedName name="AQ_DISP">#REF!</definedName>
    <definedName name="AS2DocOpenMode" hidden="1">"AS2DocumentBrowse"</definedName>
    <definedName name="AS2ReportLS" hidden="1">1</definedName>
    <definedName name="AS2SyncStepLS" hidden="1">0</definedName>
    <definedName name="AS2VersionLS" hidden="1">300</definedName>
    <definedName name="Assessable">'[1]10 rental'!$I:$I</definedName>
    <definedName name="ATO_Allowances">[5]DutyLog!$X$369</definedName>
    <definedName name="ATO_Bottom" localSheetId="16">#REF!</definedName>
    <definedName name="ATO_Bottom" localSheetId="14">#REF!</definedName>
    <definedName name="ATO_Bottom">#REF!</definedName>
    <definedName name="ATO_Lower" localSheetId="16">#REF!</definedName>
    <definedName name="ATO_Lower" localSheetId="14">#REF!</definedName>
    <definedName name="ATO_Lower">#REF!</definedName>
    <definedName name="ATO_Top" localSheetId="16">#REF!</definedName>
    <definedName name="ATO_Top" localSheetId="14">#REF!</definedName>
    <definedName name="ATO_Top">#REF!</definedName>
    <definedName name="ATO_Upper" localSheetId="16">#REF!</definedName>
    <definedName name="ATO_Upper">#REF!</definedName>
    <definedName name="ATOLower_List">[5]ATO_Low!$A$3:$H$17</definedName>
    <definedName name="ATOMid_List">[5]ATO_Mid!$A$3:$H$17</definedName>
    <definedName name="ATOUpper_List">[5]ATO_Upper!$A$3:$H$17</definedName>
    <definedName name="au_totals_non_trust_1" localSheetId="16">#REF!</definedName>
    <definedName name="au_totals_non_trust_1" localSheetId="14">#REF!</definedName>
    <definedName name="au_totals_non_trust_1">#REF!</definedName>
    <definedName name="au_totals_non_trust_10" localSheetId="16">#REF!</definedName>
    <definedName name="au_totals_non_trust_10" localSheetId="14">#REF!</definedName>
    <definedName name="au_totals_non_trust_10">#REF!</definedName>
    <definedName name="au_totals_non_trust_11" localSheetId="16">#REF!</definedName>
    <definedName name="au_totals_non_trust_11" localSheetId="14">#REF!</definedName>
    <definedName name="au_totals_non_trust_11">#REF!</definedName>
    <definedName name="au_totals_non_trust_12" localSheetId="16">#REF!</definedName>
    <definedName name="au_totals_non_trust_12">#REF!</definedName>
    <definedName name="au_totals_non_trust_2" localSheetId="16">#REF!</definedName>
    <definedName name="au_totals_non_trust_2">#REF!</definedName>
    <definedName name="au_totals_non_trust_3" localSheetId="16">[6]SSIncome!#REF!</definedName>
    <definedName name="au_totals_non_trust_3">[6]SSIncome!#REF!</definedName>
    <definedName name="au_totals_non_trust_4" localSheetId="16">#REF!</definedName>
    <definedName name="au_totals_non_trust_4" localSheetId="14">#REF!</definedName>
    <definedName name="au_totals_non_trust_4">#REF!</definedName>
    <definedName name="au_totals_non_trust_5" localSheetId="16">#REF!</definedName>
    <definedName name="au_totals_non_trust_5" localSheetId="14">#REF!</definedName>
    <definedName name="au_totals_non_trust_5">#REF!</definedName>
    <definedName name="au_totals_non_trust_6" localSheetId="16">[6]SSIncome!#REF!</definedName>
    <definedName name="au_totals_non_trust_6" localSheetId="14">[6]SSIncome!#REF!</definedName>
    <definedName name="au_totals_non_trust_6">[6]SSIncome!#REF!</definedName>
    <definedName name="au_totals_non_trust_7" localSheetId="16">[6]SSIncome!#REF!</definedName>
    <definedName name="au_totals_non_trust_7" localSheetId="14">[6]SSIncome!#REF!</definedName>
    <definedName name="au_totals_non_trust_7">[6]SSIncome!#REF!</definedName>
    <definedName name="au_totals_non_trust_8" localSheetId="16">#REF!</definedName>
    <definedName name="au_totals_non_trust_8" localSheetId="14">#REF!</definedName>
    <definedName name="au_totals_non_trust_8">#REF!</definedName>
    <definedName name="au_totals_non_trust_9" localSheetId="16">#REF!</definedName>
    <definedName name="au_totals_non_trust_9" localSheetId="14">#REF!</definedName>
    <definedName name="au_totals_non_trust_9">#REF!</definedName>
    <definedName name="au_totals_trust_1" localSheetId="16">#REF!</definedName>
    <definedName name="au_totals_trust_1" localSheetId="14">#REF!</definedName>
    <definedName name="au_totals_trust_1">#REF!</definedName>
    <definedName name="au_totals_trust_10" localSheetId="16">#REF!</definedName>
    <definedName name="au_totals_trust_10">#REF!</definedName>
    <definedName name="au_totals_trust_11" localSheetId="16">#REF!</definedName>
    <definedName name="au_totals_trust_11">#REF!</definedName>
    <definedName name="au_totals_trust_12" localSheetId="16">#REF!</definedName>
    <definedName name="au_totals_trust_12">#REF!</definedName>
    <definedName name="au_totals_trust_2" localSheetId="16">[6]SSIncome!#REF!</definedName>
    <definedName name="au_totals_trust_2">[6]SSIncome!#REF!</definedName>
    <definedName name="au_totals_trust_3" localSheetId="16">[6]SSIncome!#REF!</definedName>
    <definedName name="au_totals_trust_3">[6]SSIncome!#REF!</definedName>
    <definedName name="au_totals_trust_4" localSheetId="16">[6]SSIncome!#REF!</definedName>
    <definedName name="au_totals_trust_4">[6]SSIncome!#REF!</definedName>
    <definedName name="au_totals_trust_5" localSheetId="16">[6]SSIncome!#REF!</definedName>
    <definedName name="au_totals_trust_5">[6]SSIncome!#REF!</definedName>
    <definedName name="au_totals_trust_6">[6]SSIncome!#REF!</definedName>
    <definedName name="au_totals_trust_7">[6]SSIncome!#REF!</definedName>
    <definedName name="au_totals_trust_8">[6]SSIncome!#REF!</definedName>
    <definedName name="au_totals_trust_9" localSheetId="16">#REF!</definedName>
    <definedName name="au_totals_trust_9" localSheetId="14">#REF!</definedName>
    <definedName name="au_totals_trust_9">#REF!</definedName>
    <definedName name="AUG" localSheetId="16">#REF!</definedName>
    <definedName name="AUG">#REF!</definedName>
    <definedName name="AugAllDraw" localSheetId="16">#REF!,#REF!</definedName>
    <definedName name="AugAllDraw">#REF!,#REF!</definedName>
    <definedName name="AugAllRep" localSheetId="16">#REF!,#REF!</definedName>
    <definedName name="AugAllRep">#REF!,#REF!</definedName>
    <definedName name="AugApp2Bal" localSheetId="16">#REF!</definedName>
    <definedName name="AugApp2Bal">#REF!</definedName>
    <definedName name="AugApp2OB" localSheetId="16">#REF!</definedName>
    <definedName name="AugApp2OB">#REF!</definedName>
    <definedName name="AugApp2Share" localSheetId="16">#REF!</definedName>
    <definedName name="AugApp2Share">#REF!</definedName>
    <definedName name="AugApp3Bal" localSheetId="16">#REF!</definedName>
    <definedName name="AugApp3Bal">#REF!</definedName>
    <definedName name="AugApp3OB" localSheetId="16">#REF!</definedName>
    <definedName name="AugApp3OB">#REF!</definedName>
    <definedName name="AugApp3Share" localSheetId="16">#REF!</definedName>
    <definedName name="AugApp3Share">#REF!</definedName>
    <definedName name="AugApp4Bal" localSheetId="16">#REF!</definedName>
    <definedName name="AugApp4Bal">#REF!</definedName>
    <definedName name="AugApp4OB" localSheetId="16">#REF!</definedName>
    <definedName name="AugApp4OB">#REF!</definedName>
    <definedName name="AugApp4Share" localSheetId="16">#REF!</definedName>
    <definedName name="AugApp4Share">#REF!</definedName>
    <definedName name="AugApp5Bal" localSheetId="16">#REF!</definedName>
    <definedName name="AugApp5Bal">#REF!</definedName>
    <definedName name="AugApp5OB" localSheetId="16">#REF!</definedName>
    <definedName name="AugApp5OB">#REF!</definedName>
    <definedName name="AugApp5Share" localSheetId="16">#REF!</definedName>
    <definedName name="AugApp5Share">#REF!</definedName>
    <definedName name="AugApp6Bal" localSheetId="16">#REF!</definedName>
    <definedName name="AugApp6Bal">#REF!</definedName>
    <definedName name="AugApp6OB" localSheetId="16">#REF!</definedName>
    <definedName name="AugApp6OB">#REF!</definedName>
    <definedName name="AugApp6Share" localSheetId="16">#REF!</definedName>
    <definedName name="AugApp6Share">#REF!</definedName>
    <definedName name="AugBal" localSheetId="16">#REF!</definedName>
    <definedName name="AugBal">#REF!</definedName>
    <definedName name="AugBP" localSheetId="16">#REF!</definedName>
    <definedName name="AugBP">#REF!</definedName>
    <definedName name="AugBusDraw" localSheetId="16">#REF!</definedName>
    <definedName name="AugBusDraw">#REF!</definedName>
    <definedName name="AugBusDrawApp" localSheetId="16">#REF!</definedName>
    <definedName name="AugBusDrawApp">#REF!</definedName>
    <definedName name="AugFees" localSheetId="16">#REF!</definedName>
    <definedName name="AugFees">#REF!</definedName>
    <definedName name="AugGenRep" localSheetId="16">#REF!</definedName>
    <definedName name="AugGenRep">#REF!</definedName>
    <definedName name="AugInt" localSheetId="16">#REF!</definedName>
    <definedName name="AugInt">#REF!</definedName>
    <definedName name="AugOB" localSheetId="16">#REF!</definedName>
    <definedName name="AugOB">#REF!</definedName>
    <definedName name="AugOpenBP" localSheetId="16">#REF!</definedName>
    <definedName name="AugOpenBP">#REF!</definedName>
    <definedName name="AugPersBal" localSheetId="16">#REF!</definedName>
    <definedName name="AugPersBal">#REF!</definedName>
    <definedName name="AugPersDraw" localSheetId="16">#REF!</definedName>
    <definedName name="AugPersDraw">#REF!</definedName>
    <definedName name="AugPersOB" localSheetId="16">#REF!</definedName>
    <definedName name="AugPersOB">#REF!</definedName>
    <definedName name="AugPersShare" localSheetId="16">#REF!</definedName>
    <definedName name="AugPersShare">#REF!</definedName>
    <definedName name="AugSpecRep" localSheetId="16">#REF!</definedName>
    <definedName name="AugSpecRep">#REF!</definedName>
    <definedName name="AugSpecRepApp" localSheetId="16">#REF!</definedName>
    <definedName name="AugSpecRepApp">#REF!</definedName>
    <definedName name="AUGU" localSheetId="16">#REF!</definedName>
    <definedName name="AUGU">#REF!</definedName>
    <definedName name="AUGUS" localSheetId="16">#REF!</definedName>
    <definedName name="AUGUS">#REF!</definedName>
    <definedName name="bar_pur_option">'[3]Data Entry'!$G$42</definedName>
    <definedName name="BasicDaily">[4]Sheet1!$D$2</definedName>
    <definedName name="BeefNumbers" localSheetId="16">#REF!,#REF!,#REF!</definedName>
    <definedName name="BeefNumbers" localSheetId="14">#REF!,#REF!,#REF!</definedName>
    <definedName name="BeefNumbers">#REF!,#REF!,#REF!</definedName>
    <definedName name="Beg.Bal" localSheetId="16">IF(#REF!&lt;&gt;"",#REF!,"")</definedName>
    <definedName name="Beg.Bal" localSheetId="14">IF(#REF!&lt;&gt;"",#REF!,"")</definedName>
    <definedName name="Beg.Bal">IF(#REF!&lt;&gt;"",#REF!,"")</definedName>
    <definedName name="beg_date">'[3]Data Entry'!$G$44</definedName>
    <definedName name="beginning_or_end">'[3]Data Entry'!$J$47</definedName>
    <definedName name="BG_Del" hidden="1">15</definedName>
    <definedName name="BG_Ins" hidden="1">4</definedName>
    <definedName name="BG_Mod" hidden="1">6</definedName>
    <definedName name="BmarkIntRate">#REF!</definedName>
    <definedName name="bnn" localSheetId="16">#REF!</definedName>
    <definedName name="bnn" localSheetId="14">#REF!</definedName>
    <definedName name="bnn">#REF!</definedName>
    <definedName name="BonusDaily">[4]Sheet1!$D$6</definedName>
    <definedName name="BonusSalary">[4]Salary!$B$4</definedName>
    <definedName name="Book">'[7]WP Index'!#REF!</definedName>
    <definedName name="Borrowings" localSheetId="16">#REF!</definedName>
    <definedName name="Borrowings" localSheetId="14">#REF!</definedName>
    <definedName name="Borrowings">#REF!</definedName>
    <definedName name="BorrowingsC" localSheetId="16">#REF!</definedName>
    <definedName name="BorrowingsC" localSheetId="14">#REF!</definedName>
    <definedName name="BorrowingsC">#REF!</definedName>
    <definedName name="Brekky_Start" localSheetId="16">#REF!</definedName>
    <definedName name="Brekky_Start" localSheetId="14">#REF!</definedName>
    <definedName name="Brekky_Start">#REF!</definedName>
    <definedName name="Brekky_Stop" localSheetId="16">#REF!</definedName>
    <definedName name="Brekky_Stop">#REF!</definedName>
    <definedName name="BS_CASH" localSheetId="16">#REF!</definedName>
    <definedName name="BS_CASH">#REF!</definedName>
    <definedName name="bs_gst_trust_specific" localSheetId="16">#REF!</definedName>
    <definedName name="bs_gst_trust_specific">#REF!</definedName>
    <definedName name="bvjhgj" localSheetId="16">#REF!</definedName>
    <definedName name="bvjhgj">#REF!</definedName>
    <definedName name="CAInvestments" localSheetId="16">#REF!</definedName>
    <definedName name="CAInvestments">#REF!</definedName>
    <definedName name="CAInvestmentsC" localSheetId="16">#REF!</definedName>
    <definedName name="CAInvestmentsC">#REF!</definedName>
    <definedName name="Calculated_payment" localSheetId="16">#REF!</definedName>
    <definedName name="Calculated_payment">#REF!</definedName>
    <definedName name="CAOther" localSheetId="16">#REF!</definedName>
    <definedName name="CAOther">#REF!</definedName>
    <definedName name="CAOtherC" localSheetId="16">#REF!</definedName>
    <definedName name="CAOtherC">#REF!</definedName>
    <definedName name="Car">#N/A</definedName>
    <definedName name="CARec" localSheetId="16">#REF!</definedName>
    <definedName name="CARec" localSheetId="14">#REF!</definedName>
    <definedName name="CARec">#REF!</definedName>
    <definedName name="CARecC" localSheetId="16">#REF!</definedName>
    <definedName name="CARecC">#REF!</definedName>
    <definedName name="CARRY_FORWARD_NOTES_Next_Year" localSheetId="16">'[7]WP Index'!#REF!</definedName>
    <definedName name="CARRY_FORWARD_NOTES_Next_Year">'[7]WP Index'!#REF!</definedName>
    <definedName name="CARRY_FORWARD_NOTES_This_Year" localSheetId="16">'[7]WP Index'!#REF!</definedName>
    <definedName name="CARRY_FORWARD_NOTES_This_Year">'[7]WP Index'!#REF!</definedName>
    <definedName name="CarType1" localSheetId="16">#REF!+'[8]FBT 10 Car Benefits (2)'!$C$74+'[8]FBT 10 Car Benefits (3)'!$C$74+'[8]FBT 10 Car Benefits (4)'!$C$74+'[8]FBT 10 Car Benefits (5)'!$C$74</definedName>
    <definedName name="CarType1">#REF!+'[9]FBT 10 Car Benefits (2)'!$C$74+'[9]FBT 10 Car Benefits (3)'!$C$74+'[9]FBT 10 Car Benefits (4)'!$C$74+'[9]FBT 10 Car Benefits (5)'!$C$74</definedName>
    <definedName name="CarType2" localSheetId="16">#REF!+'[8]FBT 10 Car Benefits (2)'!$C$79+'[8]FBT 10 Car Benefits (3)'!$C$79+'[8]FBT 10 Car Benefits (4)'!$C$79+'[8]FBT 10 Car Benefits (5)'!$C$79</definedName>
    <definedName name="CarType2">#REF!+'[9]FBT 10 Car Benefits (2)'!$C$79+'[9]FBT 10 Car Benefits (3)'!$C$79+'[9]FBT 10 Car Benefits (4)'!$C$79+'[9]FBT 10 Car Benefits (5)'!$C$79</definedName>
    <definedName name="Cash_or_accruals?">'[3]Data Entry'!$J$21</definedName>
    <definedName name="Categories">[4]MoneyHistory!$A$3:$A$51</definedName>
    <definedName name="CategoryAmounts">[4]AllTrans!$L$2:$M$4501</definedName>
    <definedName name="CategoryList" localSheetId="16">OFFSET(CategoryListLarge,1,0,MAX(ROWS(CategoryListLarge)-2,1),1)</definedName>
    <definedName name="CategoryList" localSheetId="14">OFFSET(CategoryListLarge,1,0,MAX(ROWS(CategoryListLarge)-2,1),1)</definedName>
    <definedName name="CategoryList">OFFSET(CategoryListLarge,1,0,MAX(ROWS(CategoryListLarge)-2,1),1)</definedName>
    <definedName name="CategoryListLarge">[10]Index!$E$32:$E$33</definedName>
    <definedName name="cfn_next_year">'[2]File Index'!#REF!</definedName>
    <definedName name="CFWD_Deferred_Drought_Sales" localSheetId="16">#REF!</definedName>
    <definedName name="CFWD_Deferred_Drought_Sales" localSheetId="14">#REF!</definedName>
    <definedName name="CFWD_Deferred_Drought_Sales">#REF!</definedName>
    <definedName name="cg">'[11]Inputs and assumptions'!$D$24</definedName>
    <definedName name="ChangeInNumbersCurrent" localSheetId="16">#REF!,#REF!,#REF!,#REF!,#REF!,#REF!,#REF!,#REF!,#REF!,#REF!</definedName>
    <definedName name="ChangeInNumbersCurrent" localSheetId="14">#REF!,#REF!,#REF!,#REF!,#REF!,#REF!,#REF!,#REF!,#REF!,#REF!</definedName>
    <definedName name="ChangeInNumbersCurrent">#REF!,#REF!,#REF!,#REF!,#REF!,#REF!,#REF!,#REF!,#REF!,#REF!</definedName>
    <definedName name="ChangeInNumbersLastYear" localSheetId="16">#REF!,#REF!,#REF!,#REF!,#REF!,#REF!,#REF!,#REF!,#REF!,#REF!</definedName>
    <definedName name="ChangeInNumbersLastYear" localSheetId="14">#REF!,#REF!,#REF!,#REF!,#REF!,#REF!,#REF!,#REF!,#REF!,#REF!</definedName>
    <definedName name="ChangeInNumbersLastYear">#REF!,#REF!,#REF!,#REF!,#REF!,#REF!,#REF!,#REF!,#REF!,#REF!</definedName>
    <definedName name="CHECKLIST_At_Call_Loan_Documentation" localSheetId="16">'[7]WP Index'!#REF!</definedName>
    <definedName name="CHECKLIST_At_Call_Loan_Documentation" localSheetId="14">'[7]WP Index'!#REF!</definedName>
    <definedName name="CHECKLIST_At_Call_Loan_Documentation">'[7]WP Index'!#REF!</definedName>
    <definedName name="CHECKLIST_Division_7A" localSheetId="16">'[7]WP Index'!#REF!</definedName>
    <definedName name="CHECKLIST_Division_7A" localSheetId="14">'[7]WP Index'!#REF!</definedName>
    <definedName name="CHECKLIST_Division_7A">'[7]WP Index'!#REF!</definedName>
    <definedName name="CHECKLIST_Family_Trust_Election" localSheetId="16">'[7]WP Index'!#REF!</definedName>
    <definedName name="CHECKLIST_Family_Trust_Election" localSheetId="14">'[7]WP Index'!#REF!</definedName>
    <definedName name="CHECKLIST_Family_Trust_Election">'[7]WP Index'!#REF!</definedName>
    <definedName name="CHECKLIST_Partnership_Documentation" localSheetId="16">'[7]WP Index'!#REF!</definedName>
    <definedName name="CHECKLIST_Partnership_Documentation" localSheetId="14">'[7]WP Index'!#REF!</definedName>
    <definedName name="CHECKLIST_Partnership_Documentation">'[7]WP Index'!#REF!</definedName>
    <definedName name="CHECKLIST_Service_Entity" localSheetId="16">'[7]WP Index'!#REF!</definedName>
    <definedName name="CHECKLIST_Service_Entity" localSheetId="14">'[7]WP Index'!#REF!</definedName>
    <definedName name="CHECKLIST_Service_Entity">'[7]WP Index'!#REF!</definedName>
    <definedName name="CHECKLIST_Trust_Deed_Review" localSheetId="16">'[7]WP Index'!#REF!</definedName>
    <definedName name="CHECKLIST_Trust_Deed_Review">'[7]WP Index'!#REF!</definedName>
    <definedName name="CHECKLIST_Workers_Compensation" localSheetId="16">'[7]WP Index'!#REF!</definedName>
    <definedName name="CHECKLIST_Workers_Compensation">'[7]WP Index'!#REF!</definedName>
    <definedName name="CIQWBGuid" hidden="1">"d4c7644e-eb43-4cdb-96ef-c165fdc7a048"</definedName>
    <definedName name="Cl_Name">[12]Home!$C$6</definedName>
    <definedName name="Claim_input_tax_credits?">'[3]Data Entry'!$J$19</definedName>
    <definedName name="CLIENT_FILE_NOTE">'[7]WP Index'!#REF!</definedName>
    <definedName name="CLIENT_RISK_ASSESSMENT_CHECKLIST">'[7]WP Index'!#REF!</definedName>
    <definedName name="CLOther" localSheetId="16">#REF!</definedName>
    <definedName name="CLOther" localSheetId="14">#REF!</definedName>
    <definedName name="CLOther">#REF!</definedName>
    <definedName name="CLOtherC" localSheetId="16">#REF!</definedName>
    <definedName name="CLOtherC" localSheetId="14">#REF!</definedName>
    <definedName name="CLOtherC">#REF!</definedName>
    <definedName name="CLOtherLoans" localSheetId="16">#REF!</definedName>
    <definedName name="CLOtherLoans" localSheetId="14">#REF!</definedName>
    <definedName name="CLOtherLoans">#REF!</definedName>
    <definedName name="CLOtherLoansC" localSheetId="16">#REF!</definedName>
    <definedName name="CLOtherLoansC">#REF!</definedName>
    <definedName name="CLProvisions" localSheetId="16">#REF!</definedName>
    <definedName name="CLProvisions">#REF!</definedName>
    <definedName name="CLProvisionsC" localSheetId="16">#REF!</definedName>
    <definedName name="CLProvisionsC">#REF!</definedName>
    <definedName name="ColumnTitle1" localSheetId="16">#REF!</definedName>
    <definedName name="ColumnTitle1">#REF!</definedName>
    <definedName name="CommutesPerMonth">'[4]2008'!$C$70</definedName>
    <definedName name="CompTaxRate" localSheetId="16">#REF!</definedName>
    <definedName name="CompTaxRate" localSheetId="14">#REF!</definedName>
    <definedName name="CompTaxRate">#REF!</definedName>
    <definedName name="Contingent_rentals?">'[3]Data Entry'!$J$75</definedName>
    <definedName name="Cost">'[1]10 rental'!$D:$D</definedName>
    <definedName name="count" localSheetId="16">#REF!</definedName>
    <definedName name="count" localSheetId="14">#REF!</definedName>
    <definedName name="count">#REF!</definedName>
    <definedName name="cpi">'[11]Inputs and assumptions'!$D$25</definedName>
    <definedName name="CreditorsAccruals" localSheetId="16">#REF!</definedName>
    <definedName name="CreditorsAccruals" localSheetId="14">#REF!</definedName>
    <definedName name="CreditorsAccruals">#REF!</definedName>
    <definedName name="CreditorsAccrualsC" localSheetId="16">#REF!</definedName>
    <definedName name="CreditorsAccrualsC" localSheetId="14">#REF!</definedName>
    <definedName name="CreditorsAccrualsC">#REF!</definedName>
    <definedName name="Cum.Interest" localSheetId="16">IF(#REF!&lt;&gt;"",#REF!+#REF!,"")</definedName>
    <definedName name="Cum.Interest" localSheetId="14">IF(#REF!&lt;&gt;"",#REF!+#REF!,"")</definedName>
    <definedName name="Cum.Interest">IF(#REF!&lt;&gt;"",#REF!+#REF!,"")</definedName>
    <definedName name="Cumulative_lookup" localSheetId="16">#REF!</definedName>
    <definedName name="Cumulative_lookup" localSheetId="14">#REF!</definedName>
    <definedName name="Cumulative_lookup">#REF!</definedName>
    <definedName name="Current_Assets">#N/A</definedName>
    <definedName name="CWDV">'[1]10 rental'!$T:$T</definedName>
    <definedName name="Daysheld">'[1]10 rental'!$Q:$Q</definedName>
    <definedName name="DecAllDraw" localSheetId="16">#REF!,#REF!</definedName>
    <definedName name="DecAllDraw">#REF!,#REF!</definedName>
    <definedName name="DecAllRep" localSheetId="16">#REF!,#REF!</definedName>
    <definedName name="DecAllRep">#REF!,#REF!</definedName>
    <definedName name="DecApp2Bal" localSheetId="16">#REF!</definedName>
    <definedName name="DecApp2Bal">#REF!</definedName>
    <definedName name="DecApp2OB" localSheetId="16">#REF!</definedName>
    <definedName name="DecApp2OB">#REF!</definedName>
    <definedName name="DecApp2Share" localSheetId="16">#REF!</definedName>
    <definedName name="DecApp2Share">#REF!</definedName>
    <definedName name="DecApp3Bal" localSheetId="16">#REF!</definedName>
    <definedName name="DecApp3Bal">#REF!</definedName>
    <definedName name="DecApp3OB" localSheetId="16">#REF!</definedName>
    <definedName name="DecApp3OB">#REF!</definedName>
    <definedName name="DecApp3Share" localSheetId="16">#REF!</definedName>
    <definedName name="DecApp3Share">#REF!</definedName>
    <definedName name="DecApp4Bal" localSheetId="16">#REF!</definedName>
    <definedName name="DecApp4Bal">#REF!</definedName>
    <definedName name="DecApp4OB" localSheetId="16">#REF!</definedName>
    <definedName name="DecApp4OB">#REF!</definedName>
    <definedName name="DecApp4Share" localSheetId="16">#REF!</definedName>
    <definedName name="DecApp4Share">#REF!</definedName>
    <definedName name="DecApp5Bal" localSheetId="16">#REF!</definedName>
    <definedName name="DecApp5Bal">#REF!</definedName>
    <definedName name="DecApp5OB" localSheetId="16">#REF!</definedName>
    <definedName name="DecApp5OB">#REF!</definedName>
    <definedName name="DecApp5Share" localSheetId="16">#REF!</definedName>
    <definedName name="DecApp5Share">#REF!</definedName>
    <definedName name="DecApp6Bal" localSheetId="16">#REF!</definedName>
    <definedName name="DecApp6Bal">#REF!</definedName>
    <definedName name="DecApp6OB" localSheetId="16">#REF!</definedName>
    <definedName name="DecApp6OB">#REF!</definedName>
    <definedName name="DecApp6Share" localSheetId="16">#REF!</definedName>
    <definedName name="DecApp6Share">#REF!</definedName>
    <definedName name="DecBal" localSheetId="16">#REF!</definedName>
    <definedName name="DecBal">#REF!</definedName>
    <definedName name="DecBP" localSheetId="16">#REF!</definedName>
    <definedName name="DecBP">#REF!</definedName>
    <definedName name="DecBusDraw" localSheetId="16">#REF!</definedName>
    <definedName name="DecBusDraw">#REF!</definedName>
    <definedName name="DecBusDrawApp" localSheetId="16">#REF!</definedName>
    <definedName name="DecBusDrawApp">#REF!</definedName>
    <definedName name="DecFees" localSheetId="16">#REF!</definedName>
    <definedName name="DecFees">#REF!</definedName>
    <definedName name="DecGenRep" localSheetId="16">#REF!</definedName>
    <definedName name="DecGenRep">#REF!</definedName>
    <definedName name="DecInt" localSheetId="16">#REF!</definedName>
    <definedName name="DecInt">#REF!</definedName>
    <definedName name="DecOB" localSheetId="16">#REF!</definedName>
    <definedName name="DecOB">#REF!</definedName>
    <definedName name="DecOpenBP" localSheetId="16">#REF!</definedName>
    <definedName name="DecOpenBP">#REF!</definedName>
    <definedName name="DecPersBal" localSheetId="16">#REF!</definedName>
    <definedName name="DecPersBal">#REF!</definedName>
    <definedName name="DecPersDraw" localSheetId="16">#REF!</definedName>
    <definedName name="DecPersDraw">#REF!</definedName>
    <definedName name="DecPersOB" localSheetId="16">#REF!</definedName>
    <definedName name="DecPersOB">#REF!</definedName>
    <definedName name="DecPersShare" localSheetId="16">#REF!</definedName>
    <definedName name="DecPersShare">#REF!</definedName>
    <definedName name="DecSpecRep" localSheetId="16">#REF!</definedName>
    <definedName name="DecSpecRep">#REF!</definedName>
    <definedName name="DecSpecRepApp" localSheetId="16">#REF!</definedName>
    <definedName name="DecSpecRepApp">#REF!</definedName>
    <definedName name="Deductible">'[1]10 rental'!$J:$J</definedName>
    <definedName name="DeerNumbers" localSheetId="16">#REF!,#REF!,#REF!</definedName>
    <definedName name="DeerNumbers" localSheetId="14">#REF!,#REF!,#REF!</definedName>
    <definedName name="DeerNumbers">#REF!,#REF!,#REF!</definedName>
    <definedName name="DeleteWorkpaper">INDIRECT(_xll.CurrentCell())</definedName>
    <definedName name="Depn">'[1]10 rental'!$R:$R</definedName>
    <definedName name="Destination" localSheetId="16">#REF!</definedName>
    <definedName name="Destination" localSheetId="14">#REF!</definedName>
    <definedName name="Destination">#REF!</definedName>
    <definedName name="dff" localSheetId="16">#REF!</definedName>
    <definedName name="dff" localSheetId="14">#REF!</definedName>
    <definedName name="dff">#REF!</definedName>
    <definedName name="Dinner_Start" localSheetId="16">#REF!</definedName>
    <definedName name="Dinner_Start" localSheetId="14">#REF!</definedName>
    <definedName name="Dinner_Start">#REF!</definedName>
    <definedName name="Dinner_Stop" localSheetId="16">#REF!</definedName>
    <definedName name="Dinner_Stop">#REF!</definedName>
    <definedName name="Directors" localSheetId="16">#REF!</definedName>
    <definedName name="Directors">#REF!</definedName>
    <definedName name="DirectorsC" localSheetId="16">#REF!</definedName>
    <definedName name="DirectorsC">#REF!</definedName>
    <definedName name="Dispdate">'[1]10 rental'!$G:$G</definedName>
    <definedName name="div7a_range">'[7]Standard Rates'!$C$27:$D$38</definedName>
    <definedName name="dividend_summary_selection">'[7]I12 Dividend Summary'!#REF!</definedName>
    <definedName name="Division_7A_Summary" localSheetId="16">#REF!</definedName>
    <definedName name="Division_7A_Summary" localSheetId="14">#REF!</definedName>
    <definedName name="Division_7A_Summary">#REF!</definedName>
    <definedName name="down_paymt">'[3]Data Entry'!$G$34</definedName>
    <definedName name="edp">[13]AMORT!#REF!</definedName>
    <definedName name="EEE">[14]SSIncome!#REF!</definedName>
    <definedName name="EIPAfterTax" localSheetId="16">#REF!</definedName>
    <definedName name="EIPAfterTax" localSheetId="14">#REF!</definedName>
    <definedName name="EIPAfterTax">#REF!</definedName>
    <definedName name="EIPAfterTaxC" localSheetId="16">#REF!</definedName>
    <definedName name="EIPAfterTaxC" localSheetId="14">#REF!</definedName>
    <definedName name="EIPAfterTaxC">#REF!</definedName>
    <definedName name="End_Bal" localSheetId="16">#REF!</definedName>
    <definedName name="End_Bal" localSheetId="14">#REF!</definedName>
    <definedName name="End_Bal">#REF!</definedName>
    <definedName name="end_date">'[3]Data Entry'!$G$45</definedName>
    <definedName name="END_OF_ENGAGEMENT_CHECKLIST">'[7]WP Index'!#REF!</definedName>
    <definedName name="End_of_term" localSheetId="16">#REF!</definedName>
    <definedName name="End_of_term" localSheetId="14">#REF!</definedName>
    <definedName name="End_of_term">#REF!</definedName>
    <definedName name="Enddate" localSheetId="16">#REF!</definedName>
    <definedName name="Enddate" localSheetId="14">#REF!</definedName>
    <definedName name="Enddate">#REF!</definedName>
    <definedName name="Ending.Balance" localSheetId="16">IF(#REF!&lt;&gt;"",#REF!-#REF!,"")</definedName>
    <definedName name="Ending.Balance" localSheetId="14">IF(#REF!&lt;&gt;"",#REF!-#REF!,"")</definedName>
    <definedName name="Ending.Balance">IF(#REF!&lt;&gt;"",#REF!-#REF!,"")</definedName>
    <definedName name="Endrange" localSheetId="16">#REF!</definedName>
    <definedName name="Endrange" localSheetId="14">#REF!</definedName>
    <definedName name="Endrange">#REF!</definedName>
    <definedName name="Entered_payment" localSheetId="16">#REF!</definedName>
    <definedName name="Entered_payment">#REF!</definedName>
    <definedName name="entity_state" localSheetId="16">'[7]WP Index'!#REF!</definedName>
    <definedName name="entity_state" localSheetId="14">'[7]WP Index'!#REF!</definedName>
    <definedName name="entity_state">'[7]WP Index'!#REF!</definedName>
    <definedName name="Entity_Type" localSheetId="16">'[7]WP Index'!#REF!</definedName>
    <definedName name="Entity_Type" localSheetId="14">'[7]WP Index'!#REF!</definedName>
    <definedName name="Entity_Type">'[7]WP Index'!#REF!</definedName>
    <definedName name="EntityName">'[3]Set Up Names and Dates'!$E$12</definedName>
    <definedName name="Equity">#N/A</definedName>
    <definedName name="esppqty" localSheetId="16">#REF!</definedName>
    <definedName name="esppqty" localSheetId="7">#REF!</definedName>
    <definedName name="esppqty" localSheetId="14">#REF!</definedName>
    <definedName name="esppqty">#REF!</definedName>
    <definedName name="ExchRateAED">[4]MoneyHistory!$T$20</definedName>
    <definedName name="ExchRateUSD">[4]MoneyHistory!$T$21</definedName>
    <definedName name="Expenses">#N/A</definedName>
    <definedName name="_xlnm.Extract" localSheetId="14">#REF!</definedName>
    <definedName name="_xlnm.Extract">#REF!</definedName>
    <definedName name="ExtraPayments" localSheetId="16">#REF!</definedName>
    <definedName name="ExtraPayments" localSheetId="14">#REF!</definedName>
    <definedName name="ExtraPayments">#REF!</definedName>
    <definedName name="fair_value">'[3]Data Entry'!$G$36</definedName>
    <definedName name="FebAllDraw" localSheetId="16">#REF!,#REF!</definedName>
    <definedName name="FebAllDraw">#REF!,#REF!</definedName>
    <definedName name="FebAllRep" localSheetId="16">#REF!,#REF!</definedName>
    <definedName name="FebAllRep">#REF!,#REF!</definedName>
    <definedName name="FebApp2Bal" localSheetId="16">#REF!</definedName>
    <definedName name="FebApp2Bal">#REF!</definedName>
    <definedName name="FebApp2OB" localSheetId="16">#REF!</definedName>
    <definedName name="FebApp2OB">#REF!</definedName>
    <definedName name="FebApp2Share" localSheetId="16">#REF!</definedName>
    <definedName name="FebApp2Share">#REF!</definedName>
    <definedName name="FebApp3Bal" localSheetId="16">#REF!</definedName>
    <definedName name="FebApp3Bal">#REF!</definedName>
    <definedName name="FebApp3OB" localSheetId="16">#REF!</definedName>
    <definedName name="FebApp3OB">#REF!</definedName>
    <definedName name="FebApp3Share" localSheetId="16">#REF!</definedName>
    <definedName name="FebApp3Share">#REF!</definedName>
    <definedName name="FebApp4Bal" localSheetId="16">#REF!</definedName>
    <definedName name="FebApp4Bal">#REF!</definedName>
    <definedName name="FebApp4OB" localSheetId="16">#REF!</definedName>
    <definedName name="FebApp4OB">#REF!</definedName>
    <definedName name="FebApp4Share" localSheetId="16">#REF!</definedName>
    <definedName name="FebApp4Share">#REF!</definedName>
    <definedName name="FebApp5Bal" localSheetId="16">#REF!</definedName>
    <definedName name="FebApp5Bal">#REF!</definedName>
    <definedName name="FebApp5OB" localSheetId="16">#REF!</definedName>
    <definedName name="FebApp5OB">#REF!</definedName>
    <definedName name="FebApp5Share" localSheetId="16">#REF!</definedName>
    <definedName name="FebApp5Share">#REF!</definedName>
    <definedName name="FebApp6Bal" localSheetId="16">#REF!</definedName>
    <definedName name="FebApp6Bal">#REF!</definedName>
    <definedName name="FebApp6OB" localSheetId="16">#REF!</definedName>
    <definedName name="FebApp6OB">#REF!</definedName>
    <definedName name="FebApp6Share" localSheetId="16">#REF!</definedName>
    <definedName name="FebApp6Share">#REF!</definedName>
    <definedName name="FebBal" localSheetId="16">#REF!</definedName>
    <definedName name="FebBal">#REF!</definedName>
    <definedName name="FebBP" localSheetId="16">#REF!</definedName>
    <definedName name="FebBP">#REF!</definedName>
    <definedName name="FebBusDraw" localSheetId="16">#REF!</definedName>
    <definedName name="FebBusDraw">#REF!</definedName>
    <definedName name="FebBusDrawApp" localSheetId="16">#REF!</definedName>
    <definedName name="FebBusDrawApp">#REF!</definedName>
    <definedName name="FebFees" localSheetId="16">#REF!</definedName>
    <definedName name="FebFees">#REF!</definedName>
    <definedName name="FebGenRep" localSheetId="16">#REF!</definedName>
    <definedName name="FebGenRep">#REF!</definedName>
    <definedName name="FebInt" localSheetId="16">#REF!</definedName>
    <definedName name="FebInt">#REF!</definedName>
    <definedName name="FebOB" localSheetId="16">#REF!</definedName>
    <definedName name="FebOB">#REF!</definedName>
    <definedName name="FebOpenBP" localSheetId="16">#REF!</definedName>
    <definedName name="FebOpenBP">#REF!</definedName>
    <definedName name="FebPersBal" localSheetId="16">#REF!</definedName>
    <definedName name="FebPersBal">#REF!</definedName>
    <definedName name="FebPersDraw" localSheetId="16">#REF!</definedName>
    <definedName name="FebPersDraw">#REF!</definedName>
    <definedName name="FebPersOB" localSheetId="16">#REF!</definedName>
    <definedName name="FebPersOB">#REF!</definedName>
    <definedName name="FebPersShare" localSheetId="16">#REF!</definedName>
    <definedName name="FebPersShare">#REF!</definedName>
    <definedName name="FebSpecRep" localSheetId="16">#REF!</definedName>
    <definedName name="FebSpecRep">#REF!</definedName>
    <definedName name="FebSpecRepApp" localSheetId="16">#REF!</definedName>
    <definedName name="FebSpecRepApp">#REF!</definedName>
    <definedName name="Filter_range" localSheetId="16">#REF!</definedName>
    <definedName name="Filter_range" localSheetId="14">#REF!</definedName>
    <definedName name="Filter_range">#REF!</definedName>
    <definedName name="final_payment">'[3]Data Entry'!$J$42</definedName>
    <definedName name="Financial_Statements">#N/A</definedName>
    <definedName name="First_bal_date">'[3]Summary Schedule'!$R$13</definedName>
    <definedName name="First_payment_due" localSheetId="16">#REF!</definedName>
    <definedName name="First_payment_due" localSheetId="14">#REF!</definedName>
    <definedName name="First_payment_due">#REF!</definedName>
    <definedName name="First_payment_no" localSheetId="16">#REF!</definedName>
    <definedName name="First_payment_no" localSheetId="14">#REF!</definedName>
    <definedName name="First_payment_no">#REF!</definedName>
    <definedName name="first_stamp_duty_payment">'[3]Data Entry'!$G$61</definedName>
    <definedName name="FirstBonus">[4]Salary!$B$14</definedName>
    <definedName name="Fixed" localSheetId="16">#REF!</definedName>
    <definedName name="Fixed" localSheetId="14">#REF!</definedName>
    <definedName name="Fixed">#REF!</definedName>
    <definedName name="FixedC" localSheetId="16">#REF!</definedName>
    <definedName name="FixedC" localSheetId="14">#REF!</definedName>
    <definedName name="FixedC">#REF!</definedName>
    <definedName name="FRC" localSheetId="16">#REF!</definedName>
    <definedName name="FRC" localSheetId="14">#REF!</definedName>
    <definedName name="FRC">#REF!</definedName>
    <definedName name="frequency">'[3]Data Entry'!$J$50</definedName>
    <definedName name="FresianNumbers" localSheetId="16">#REF!,#REF!,#REF!,#REF!</definedName>
    <definedName name="FresianNumbers" localSheetId="14">#REF!,#REF!,#REF!,#REF!</definedName>
    <definedName name="FresianNumbers">#REF!,#REF!,#REF!,#REF!</definedName>
    <definedName name="fsdate">'[3]Set Up Names and Dates'!$E$18</definedName>
    <definedName name="GeeCollChild2">[4]MoneyHistory!$R$16</definedName>
    <definedName name="GeeCollFees">[4]MoneyHistory!$Q$3:$R$12</definedName>
    <definedName name="gfdd" localSheetId="16">#REF!</definedName>
    <definedName name="gfdd" localSheetId="14">#REF!</definedName>
    <definedName name="gfdd">#REF!</definedName>
    <definedName name="Go_AddWorkpaper">INDIRECT(_xll.CurrentCell())</definedName>
    <definedName name="Go_Chat">INDIRECT(_xll.CurrentCell())</definedName>
    <definedName name="Go_DeleteWorkpaper">INDIRECT(_xll.CurrentCell())</definedName>
    <definedName name="Go_FollowHyperlink">INDIRECT(_xll.CurrentCell())</definedName>
    <definedName name="Go_Help">INDIRECT(_xll.CurrentCell())</definedName>
    <definedName name="Go_Index">INDIRECT(_xll.CurrentCell())</definedName>
    <definedName name="Go_StatusLog">INDIRECT(_xll.CurrentCell())</definedName>
    <definedName name="Go_TickBox">INDIRECT(_xll.CurrentCell())</definedName>
    <definedName name="GoatNumbers" localSheetId="16">#REF!,#REF!,#REF!,#REF!</definedName>
    <definedName name="GoatNumbers" localSheetId="14">#REF!,#REF!,#REF!,#REF!</definedName>
    <definedName name="GoatNumbers">#REF!,#REF!,#REF!,#REF!</definedName>
    <definedName name="GrossSalary" localSheetId="16">#REF!</definedName>
    <definedName name="GrossSalary" localSheetId="14">#REF!</definedName>
    <definedName name="GrossSalary">#REF!</definedName>
    <definedName name="GROUP_PRINTING_CHECKLIST" localSheetId="16">'[7]WP Index'!#REF!</definedName>
    <definedName name="GROUP_PRINTING_CHECKLIST" localSheetId="14">'[7]WP Index'!#REF!</definedName>
    <definedName name="GROUP_PRINTING_CHECKLIST">'[7]WP Index'!#REF!</definedName>
    <definedName name="GST">#N/A</definedName>
    <definedName name="GST_amount">'[3]Data Entry'!$G$27</definedName>
    <definedName name="GST_amount_incl_lux_limit">'[3]Data Entry'!$K$54</definedName>
    <definedName name="GST_column" localSheetId="16">#REF!</definedName>
    <definedName name="GST_column" localSheetId="14">#REF!</definedName>
    <definedName name="GST_column">#REF!</definedName>
    <definedName name="GST_entity" localSheetId="14">'[7]WP Index'!#REF!</definedName>
    <definedName name="GST_entity">'[7]WP Index'!#REF!</definedName>
    <definedName name="GST_paid_or_financed?">'[3]Data Entry'!$J$29</definedName>
    <definedName name="guarntd_res_value">'[3]Data Entry'!$G$38</definedName>
    <definedName name="h" localSheetId="16">#REF!</definedName>
    <definedName name="h" localSheetId="14">#REF!</definedName>
    <definedName name="h">#REF!</definedName>
    <definedName name="HerdTotalCurrent" localSheetId="16">#REF!,#REF!,#REF!,#REF!,#REF!,#REF!,#REF!,#REF!,#REF!,#REF!</definedName>
    <definedName name="HerdTotalCurrent" localSheetId="14">#REF!,#REF!,#REF!,#REF!,#REF!,#REF!,#REF!,#REF!,#REF!,#REF!</definedName>
    <definedName name="HerdTotalCurrent">#REF!,#REF!,#REF!,#REF!,#REF!,#REF!,#REF!,#REF!,#REF!,#REF!</definedName>
    <definedName name="HerdTotalLastYear" localSheetId="16">#REF!,#REF!,#REF!,#REF!,#REF!,#REF!,#REF!,#REF!,#REF!,#REF!</definedName>
    <definedName name="HerdTotalLastYear" localSheetId="14">#REF!,#REF!,#REF!,#REF!,#REF!,#REF!,#REF!,#REF!,#REF!,#REF!</definedName>
    <definedName name="HerdTotalLastYear">#REF!,#REF!,#REF!,#REF!,#REF!,#REF!,#REF!,#REF!,#REF!,#REF!</definedName>
    <definedName name="HirePurchase" localSheetId="16">#REF!</definedName>
    <definedName name="HirePurchase" localSheetId="14">#REF!</definedName>
    <definedName name="HirePurchase">#REF!</definedName>
    <definedName name="HirePurchaseC" localSheetId="16">#REF!</definedName>
    <definedName name="HirePurchaseC" localSheetId="14">#REF!</definedName>
    <definedName name="HirePurchaseC">#REF!</definedName>
    <definedName name="hjnjn" localSheetId="16">#REF!</definedName>
    <definedName name="hjnjn" localSheetId="14">#REF!</definedName>
    <definedName name="hjnjn">#REF!</definedName>
    <definedName name="HPBeefNumbers" localSheetId="16">#REF!,#REF!,#REF!,#REF!</definedName>
    <definedName name="HPBeefNumbers" localSheetId="14">#REF!,#REF!,#REF!,#REF!</definedName>
    <definedName name="HPBeefNumbers">#REF!,#REF!,#REF!,#REF!</definedName>
    <definedName name="HPDeerNumbers" localSheetId="16">#REF!,#REF!,#REF!,#REF!</definedName>
    <definedName name="HPDeerNumbers" localSheetId="14">#REF!,#REF!,#REF!,#REF!</definedName>
    <definedName name="HPDeerNumbers">#REF!,#REF!,#REF!,#REF!</definedName>
    <definedName name="HPSheepNumbers" localSheetId="16">#REF!,#REF!,#REF!</definedName>
    <definedName name="HPSheepNumbers" localSheetId="14">#REF!,#REF!,#REF!</definedName>
    <definedName name="HPSheepNumbers">#REF!,#REF!,#REF!</definedName>
    <definedName name="HTML_CodePage" hidden="1">1252</definedName>
    <definedName name="HTML_Control" localSheetId="16" hidden="1">{"'M5'!$A$1:$W$88"}</definedName>
    <definedName name="HTML_Control" localSheetId="14" hidden="1">{"'M5'!$A$1:$W$88"}</definedName>
    <definedName name="HTML_Control" hidden="1">{"'M5'!$A$1:$W$88"}</definedName>
    <definedName name="HTML_Description" hidden="1">""</definedName>
    <definedName name="HTML_Email" hidden="1">""</definedName>
    <definedName name="HTML_Header" hidden="1">"Hotel Market Mix Oct 99"</definedName>
    <definedName name="HTML_LastUpdate" hidden="1">"15/11/99"</definedName>
    <definedName name="HTML_LineAfter" hidden="1">FALSE</definedName>
    <definedName name="HTML_LineBefore" hidden="1">FALSE</definedName>
    <definedName name="HTML_Name" hidden="1">"Allan Yeoman"</definedName>
    <definedName name="HTML_OBDlg2" hidden="1">TRUE</definedName>
    <definedName name="HTML_OBDlg4" hidden="1">TRUE</definedName>
    <definedName name="HTML_OS" hidden="1">0</definedName>
    <definedName name="HTML_PathFile" hidden="1">"c:\fc\akldm5.htm"</definedName>
    <definedName name="HTML_Title" hidden="1">"Novotel Auckland Actual"</definedName>
    <definedName name="IC">#REF!</definedName>
    <definedName name="Income">#N/A</definedName>
    <definedName name="income_PSI_indiv_specific">'[15]QA Checklist'!#REF!</definedName>
    <definedName name="Income_tax">#N/A</definedName>
    <definedName name="Input?">'[3]Data Entry'!$J$12</definedName>
    <definedName name="Intangibles" localSheetId="16">#REF!</definedName>
    <definedName name="Intangibles" localSheetId="14">#REF!</definedName>
    <definedName name="Intangibles">#REF!</definedName>
    <definedName name="IntangiblesC" localSheetId="16">#REF!</definedName>
    <definedName name="IntangiblesC" localSheetId="14">#REF!</definedName>
    <definedName name="IntangiblesC">#REF!</definedName>
    <definedName name="Interest" localSheetId="16">IF(#REF!&lt;&gt;"",#REF!*'CGT Property'!Periodic_rate,"")</definedName>
    <definedName name="Interest" localSheetId="14">IF(#REF!&lt;&gt;"",#REF!*'Rental Property'!Periodic_rate,"")</definedName>
    <definedName name="Interest">IF(#REF!&lt;&gt;"",#REF!*Periodic_rate,"")</definedName>
    <definedName name="Interest_table">[16]Inputs!$A$4:$E$641</definedName>
    <definedName name="Interest_type">[16]Inputs!$G$4:$G$10</definedName>
    <definedName name="InterestRate" localSheetId="16">#REF!</definedName>
    <definedName name="InterestRate" localSheetId="14">#REF!</definedName>
    <definedName name="InterestRate">#REF!</definedName>
    <definedName name="INTERVIEW_SHEET" localSheetId="14">'[7]WP Index'!#REF!</definedName>
    <definedName name="INTERVIEW_SHEET">'[7]WP Index'!#REF!</definedName>
    <definedName name="Inventory" localSheetId="16">#REF!</definedName>
    <definedName name="Inventory" localSheetId="14">#REF!</definedName>
    <definedName name="Inventory">#REF!</definedName>
    <definedName name="InventoryC" localSheetId="16">#REF!</definedName>
    <definedName name="InventoryC" localSheetId="14">#REF!</definedName>
    <definedName name="InventoryC">#REF!</definedName>
    <definedName name="ITR_COVER_SHEET" localSheetId="16">'[7]WP Index'!#REF!</definedName>
    <definedName name="ITR_COVER_SHEET" localSheetId="14">'[7]WP Index'!#REF!</definedName>
    <definedName name="ITR_COVER_SHEET">'[7]WP Index'!#REF!</definedName>
    <definedName name="JanAllDraw" localSheetId="16">#REF!,#REF!</definedName>
    <definedName name="JanAllDraw">#REF!,#REF!</definedName>
    <definedName name="JanAllRep" localSheetId="16">#REF!,#REF!</definedName>
    <definedName name="JanAllRep">#REF!,#REF!</definedName>
    <definedName name="JanApp2Bal" localSheetId="16">#REF!</definedName>
    <definedName name="JanApp2Bal">#REF!</definedName>
    <definedName name="JanApp2OB" localSheetId="16">#REF!</definedName>
    <definedName name="JanApp2OB">#REF!</definedName>
    <definedName name="JanApp2Share" localSheetId="16">#REF!</definedName>
    <definedName name="JanApp2Share">#REF!</definedName>
    <definedName name="JanApp3Bal" localSheetId="16">#REF!</definedName>
    <definedName name="JanApp3Bal">#REF!</definedName>
    <definedName name="JanApp3OB" localSheetId="16">#REF!</definedName>
    <definedName name="JanApp3OB">#REF!</definedName>
    <definedName name="JanApp3Share" localSheetId="16">#REF!</definedName>
    <definedName name="JanApp3Share">#REF!</definedName>
    <definedName name="JanApp4Bal" localSheetId="16">#REF!</definedName>
    <definedName name="JanApp4Bal">#REF!</definedName>
    <definedName name="JanApp4OB" localSheetId="16">#REF!</definedName>
    <definedName name="JanApp4OB">#REF!</definedName>
    <definedName name="JanApp4Share" localSheetId="16">#REF!</definedName>
    <definedName name="JanApp4Share">#REF!</definedName>
    <definedName name="JanApp5Bal" localSheetId="16">#REF!</definedName>
    <definedName name="JanApp5Bal">#REF!</definedName>
    <definedName name="JanApp5OB" localSheetId="16">#REF!</definedName>
    <definedName name="JanApp5OB">#REF!</definedName>
    <definedName name="JanApp5Share" localSheetId="16">#REF!</definedName>
    <definedName name="JanApp5Share">#REF!</definedName>
    <definedName name="JanApp6Bal" localSheetId="16">#REF!</definedName>
    <definedName name="JanApp6Bal">#REF!</definedName>
    <definedName name="JanApp6OB" localSheetId="16">#REF!</definedName>
    <definedName name="JanApp6OB">#REF!</definedName>
    <definedName name="JanApp6Share" localSheetId="16">#REF!</definedName>
    <definedName name="JanApp6Share">#REF!</definedName>
    <definedName name="JanBal" localSheetId="16">#REF!</definedName>
    <definedName name="JanBal">#REF!</definedName>
    <definedName name="JanBP" localSheetId="16">#REF!</definedName>
    <definedName name="JanBP">#REF!</definedName>
    <definedName name="JanBusDraw" localSheetId="16">#REF!</definedName>
    <definedName name="JanBusDraw">#REF!</definedName>
    <definedName name="JanBusDrawApp" localSheetId="16">#REF!</definedName>
    <definedName name="JanBusDrawApp">#REF!</definedName>
    <definedName name="JanFees" localSheetId="16">#REF!</definedName>
    <definedName name="JanFees">#REF!</definedName>
    <definedName name="JanGenRep" localSheetId="16">#REF!</definedName>
    <definedName name="JanGenRep">#REF!</definedName>
    <definedName name="JanInt" localSheetId="16">#REF!</definedName>
    <definedName name="JanInt">#REF!</definedName>
    <definedName name="JanOB" localSheetId="16">#REF!</definedName>
    <definedName name="JanOB">#REF!</definedName>
    <definedName name="JanOpenBP" localSheetId="16">#REF!</definedName>
    <definedName name="JanOpenBP">#REF!</definedName>
    <definedName name="JanPersBal" localSheetId="16">#REF!</definedName>
    <definedName name="JanPersBal">#REF!</definedName>
    <definedName name="JanPersDraw" localSheetId="16">#REF!</definedName>
    <definedName name="JanPersDraw">#REF!</definedName>
    <definedName name="JanPersOB" localSheetId="16">#REF!</definedName>
    <definedName name="JanPersOB">#REF!</definedName>
    <definedName name="JanPersShare" localSheetId="16">#REF!</definedName>
    <definedName name="JanPersShare">#REF!</definedName>
    <definedName name="JanSpecRep" localSheetId="16">#REF!</definedName>
    <definedName name="JanSpecRep">#REF!</definedName>
    <definedName name="JanSpecRepApp" localSheetId="16">#REF!</definedName>
    <definedName name="JanSpecRepApp">#REF!</definedName>
    <definedName name="JerseyNumbers" localSheetId="16">#REF!,#REF!,#REF!,#REF!</definedName>
    <definedName name="JerseyNumbers" localSheetId="14">#REF!,#REF!,#REF!,#REF!</definedName>
    <definedName name="JerseyNumbers">#REF!,#REF!,#REF!,#REF!</definedName>
    <definedName name="Job_Management">#N/A</definedName>
    <definedName name="joijh" localSheetId="16">#REF!</definedName>
    <definedName name="joijh" localSheetId="14">#REF!</definedName>
    <definedName name="joijh">#REF!</definedName>
    <definedName name="Journals" localSheetId="19">#N/A</definedName>
    <definedName name="JOURNALS">'[15]File Index'!$D$33</definedName>
    <definedName name="JulAllDraw" localSheetId="16">#REF!,#REF!</definedName>
    <definedName name="JulAllDraw">#REF!,#REF!</definedName>
    <definedName name="JulAllRep" localSheetId="16">#REF!,#REF!</definedName>
    <definedName name="JulAllRep">#REF!,#REF!</definedName>
    <definedName name="JulApp2Bal" localSheetId="16">#REF!</definedName>
    <definedName name="JulApp2Bal">#REF!</definedName>
    <definedName name="JulApp2OB" localSheetId="16">#REF!</definedName>
    <definedName name="JulApp2OB">#REF!</definedName>
    <definedName name="JulApp2Share" localSheetId="16">#REF!</definedName>
    <definedName name="JulApp2Share">#REF!</definedName>
    <definedName name="JulApp3Bal" localSheetId="16">#REF!</definedName>
    <definedName name="JulApp3Bal">#REF!</definedName>
    <definedName name="JulApp3OB" localSheetId="16">#REF!</definedName>
    <definedName name="JulApp3OB">#REF!</definedName>
    <definedName name="JulApp3Share" localSheetId="16">#REF!</definedName>
    <definedName name="JulApp3Share">#REF!</definedName>
    <definedName name="JulApp4Bal" localSheetId="16">#REF!</definedName>
    <definedName name="JulApp4Bal">#REF!</definedName>
    <definedName name="JulApp4OB" localSheetId="16">#REF!</definedName>
    <definedName name="JulApp4OB">#REF!</definedName>
    <definedName name="JulApp4Share" localSheetId="16">#REF!</definedName>
    <definedName name="JulApp4Share">#REF!</definedName>
    <definedName name="JulApp5Bal" localSheetId="16">#REF!</definedName>
    <definedName name="JulApp5Bal">#REF!</definedName>
    <definedName name="JulApp5OB" localSheetId="16">#REF!</definedName>
    <definedName name="JulApp5OB">#REF!</definedName>
    <definedName name="JulApp5Share" localSheetId="16">#REF!</definedName>
    <definedName name="JulApp5Share">#REF!</definedName>
    <definedName name="JulApp6Bal" localSheetId="16">#REF!</definedName>
    <definedName name="JulApp6Bal">#REF!</definedName>
    <definedName name="JulApp6OB" localSheetId="16">#REF!</definedName>
    <definedName name="JulApp6OB">#REF!</definedName>
    <definedName name="JulApp6Share" localSheetId="16">#REF!</definedName>
    <definedName name="JulApp6Share">#REF!</definedName>
    <definedName name="JulBal" localSheetId="16">#REF!</definedName>
    <definedName name="JulBal">#REF!</definedName>
    <definedName name="JulBP" localSheetId="16">#REF!</definedName>
    <definedName name="JulBP">#REF!</definedName>
    <definedName name="JulBusDraw" localSheetId="16">#REF!</definedName>
    <definedName name="JulBusDraw">#REF!</definedName>
    <definedName name="JulBusDrawApp" localSheetId="16">#REF!</definedName>
    <definedName name="JulBusDrawApp">#REF!</definedName>
    <definedName name="JulFees" localSheetId="16">#REF!</definedName>
    <definedName name="JulFees">#REF!</definedName>
    <definedName name="JulGenRep" localSheetId="16">#REF!</definedName>
    <definedName name="JulGenRep">#REF!</definedName>
    <definedName name="JulInt" localSheetId="16">#REF!</definedName>
    <definedName name="JulInt">#REF!</definedName>
    <definedName name="JulOB" localSheetId="16">#REF!</definedName>
    <definedName name="JulOB">#REF!</definedName>
    <definedName name="JulOpenBP" localSheetId="16">#REF!</definedName>
    <definedName name="JulOpenBP">#REF!</definedName>
    <definedName name="JulPersBal" localSheetId="16">#REF!</definedName>
    <definedName name="JulPersBal">#REF!</definedName>
    <definedName name="JulPersDraw" localSheetId="16">#REF!</definedName>
    <definedName name="JulPersDraw">#REF!</definedName>
    <definedName name="JulPersOB" localSheetId="16">#REF!</definedName>
    <definedName name="JulPersOB">#REF!</definedName>
    <definedName name="JulPersShare" localSheetId="16">#REF!</definedName>
    <definedName name="JulPersShare">#REF!</definedName>
    <definedName name="JulSpecRep" localSheetId="16">#REF!</definedName>
    <definedName name="JulSpecRep">#REF!</definedName>
    <definedName name="JulSpecRepApp" localSheetId="16">#REF!</definedName>
    <definedName name="JulSpecRepApp">#REF!</definedName>
    <definedName name="JunAllDraw" localSheetId="16">#REF!,#REF!</definedName>
    <definedName name="JunAllDraw">#REF!,#REF!</definedName>
    <definedName name="JunAllRep" localSheetId="16">#REF!,#REF!</definedName>
    <definedName name="JunAllRep">#REF!,#REF!</definedName>
    <definedName name="JunApp2Bal" localSheetId="16">#REF!</definedName>
    <definedName name="JunApp2Bal">#REF!</definedName>
    <definedName name="JunApp2OB" localSheetId="16">#REF!</definedName>
    <definedName name="JunApp2OB">#REF!</definedName>
    <definedName name="JunApp2Share" localSheetId="16">#REF!</definedName>
    <definedName name="JunApp2Share">#REF!</definedName>
    <definedName name="JunApp3Bal" localSheetId="16">#REF!</definedName>
    <definedName name="JunApp3Bal">#REF!</definedName>
    <definedName name="JunApp3OB" localSheetId="16">#REF!</definedName>
    <definedName name="JunApp3OB">#REF!</definedName>
    <definedName name="JunApp3Share" localSheetId="16">#REF!</definedName>
    <definedName name="JunApp3Share">#REF!</definedName>
    <definedName name="JunApp4Bal" localSheetId="16">#REF!</definedName>
    <definedName name="JunApp4Bal">#REF!</definedName>
    <definedName name="JunApp4OB" localSheetId="16">#REF!</definedName>
    <definedName name="JunApp4OB">#REF!</definedName>
    <definedName name="JunApp4Share" localSheetId="16">#REF!</definedName>
    <definedName name="JunApp4Share">#REF!</definedName>
    <definedName name="JunApp5Bal" localSheetId="16">#REF!</definedName>
    <definedName name="JunApp5Bal">#REF!</definedName>
    <definedName name="JunApp5OB" localSheetId="16">#REF!</definedName>
    <definedName name="JunApp5OB">#REF!</definedName>
    <definedName name="JunApp5Share" localSheetId="16">#REF!</definedName>
    <definedName name="JunApp5Share">#REF!</definedName>
    <definedName name="JunApp6Bal" localSheetId="16">#REF!</definedName>
    <definedName name="JunApp6Bal">#REF!</definedName>
    <definedName name="JunApp6OB" localSheetId="16">#REF!</definedName>
    <definedName name="JunApp6OB">#REF!</definedName>
    <definedName name="JunApp6Share" localSheetId="16">#REF!</definedName>
    <definedName name="JunApp6Share">#REF!</definedName>
    <definedName name="JunBal" localSheetId="16">#REF!</definedName>
    <definedName name="JunBal">#REF!</definedName>
    <definedName name="JunBP" localSheetId="16">#REF!</definedName>
    <definedName name="JunBP">#REF!</definedName>
    <definedName name="JunBusDraw" localSheetId="16">#REF!</definedName>
    <definedName name="JunBusDraw">#REF!</definedName>
    <definedName name="JunBusDrawApp" localSheetId="16">#REF!</definedName>
    <definedName name="JunBusDrawApp">#REF!</definedName>
    <definedName name="JunFees" localSheetId="16">#REF!</definedName>
    <definedName name="JunFees">#REF!</definedName>
    <definedName name="JunGenRep" localSheetId="16">#REF!</definedName>
    <definedName name="JunGenRep">#REF!</definedName>
    <definedName name="JunInt" localSheetId="16">#REF!</definedName>
    <definedName name="JunInt">#REF!</definedName>
    <definedName name="JunOB" localSheetId="16">#REF!</definedName>
    <definedName name="JunOB">#REF!</definedName>
    <definedName name="JunOpenBP" localSheetId="16">#REF!</definedName>
    <definedName name="JunOpenBP">#REF!</definedName>
    <definedName name="JunPersBal" localSheetId="16">#REF!</definedName>
    <definedName name="JunPersBal">#REF!</definedName>
    <definedName name="JunPersDraw" localSheetId="16">#REF!</definedName>
    <definedName name="JunPersDraw">#REF!</definedName>
    <definedName name="JunPersOB" localSheetId="16">#REF!</definedName>
    <definedName name="JunPersOB">#REF!</definedName>
    <definedName name="JunPersShare" localSheetId="16">#REF!</definedName>
    <definedName name="JunPersShare">#REF!</definedName>
    <definedName name="JunSpecRep" localSheetId="16">#REF!</definedName>
    <definedName name="JunSpecRep">#REF!</definedName>
    <definedName name="JunSpecRepApp" localSheetId="16">#REF!</definedName>
    <definedName name="JunSpecRepApp">#REF!</definedName>
    <definedName name="kaushik" localSheetId="16">#REF!</definedName>
    <definedName name="kaushik" localSheetId="14">#REF!</definedName>
    <definedName name="kaushik">#REF!</definedName>
    <definedName name="Last_stamp_duty_payment">'[3]Data Entry'!$J$59</definedName>
    <definedName name="LastCol" localSheetId="16">MATCH(REPT("z",255),#REF!)</definedName>
    <definedName name="LastCol" localSheetId="14">MATCH(REPT("z",255),#REF!)</definedName>
    <definedName name="LastCol">MATCH(REPT("z",255),#REF!)</definedName>
    <definedName name="LastRow" localSheetId="16">MATCH(9.99E+307,#REF!)</definedName>
    <definedName name="LastRow" localSheetId="14">MATCH(9.99E+307,#REF!)</definedName>
    <definedName name="LastRow">MATCH(9.99E+307,#REF!)</definedName>
    <definedName name="Lease_identification">'[3]Set Up Names and Dates'!$E$16</definedName>
    <definedName name="lease_paymts">'[3]Data Entry'!$G$69</definedName>
    <definedName name="LenderName" localSheetId="16">#REF!</definedName>
    <definedName name="LenderName" localSheetId="14">#REF!</definedName>
    <definedName name="LenderName">#REF!</definedName>
    <definedName name="Liabilities">#N/A</definedName>
    <definedName name="Life">'[3]Data Entry'!$G$82</definedName>
    <definedName name="Livestock_Details" localSheetId="16">#REF!</definedName>
    <definedName name="Livestock_Details" localSheetId="14">#REF!</definedName>
    <definedName name="Livestock_Details">#REF!</definedName>
    <definedName name="LnTerm" localSheetId="16">#REF!</definedName>
    <definedName name="LnTerm" localSheetId="14">#REF!</definedName>
    <definedName name="LnTerm">#REF!</definedName>
    <definedName name="Loan_amount" localSheetId="16">#REF!</definedName>
    <definedName name="Loan_amount" localSheetId="14">#REF!</definedName>
    <definedName name="Loan_amount">#REF!</definedName>
    <definedName name="Loan_Schedule_PIR_Range" localSheetId="16">#REF!</definedName>
    <definedName name="Loan_Schedule_PIR_Range">#REF!</definedName>
    <definedName name="Loan_Schedule_PIT_Range" localSheetId="16">#REF!</definedName>
    <definedName name="Loan_Schedule_PIT_Range">#REF!</definedName>
    <definedName name="Loan_Schedule_PRT_Range" localSheetId="16">#REF!</definedName>
    <definedName name="Loan_Schedule_PRT_Range">#REF!</definedName>
    <definedName name="Loan_Schedule_Start" localSheetId="16">#REF!</definedName>
    <definedName name="Loan_Schedule_Start">#REF!</definedName>
    <definedName name="Loan_Schedule_Type" localSheetId="16">#REF!</definedName>
    <definedName name="Loan_Schedule_Type">#REF!</definedName>
    <definedName name="loan_statement_na_value" localSheetId="16">'[17]QA Checklist'!#REF!</definedName>
    <definedName name="loan_statement_na_value">'[17]QA Checklist'!#REF!</definedName>
    <definedName name="loan_statement_no" localSheetId="16">'[2]Planning Memo'!#REF!</definedName>
    <definedName name="loan_statement_no">'[2]Planning Memo'!#REF!</definedName>
    <definedName name="LoanAmount" localSheetId="16">#REF!</definedName>
    <definedName name="LoanAmount" localSheetId="14">#REF!</definedName>
    <definedName name="LoanAmount">#REF!</definedName>
    <definedName name="LoanIsGood" localSheetId="16">(#REF!*#REF!*#REF!*#REF!)&gt;0</definedName>
    <definedName name="LoanIsGood" localSheetId="14">(#REF!*#REF!*#REF!*#REF!)&gt;0</definedName>
    <definedName name="LoanIsGood">(#REF!*#REF!*#REF!*#REF!)&gt;0</definedName>
    <definedName name="LoanPeriod" localSheetId="16">#REF!</definedName>
    <definedName name="LoanPeriod" localSheetId="14">#REF!</definedName>
    <definedName name="LoanPeriod">#REF!</definedName>
    <definedName name="LoanStartDate" localSheetId="16">#REF!</definedName>
    <definedName name="LoanStartDate">#REF!</definedName>
    <definedName name="LOCAL_MYSQL_DATE_FORMAT" localSheetId="16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unch_Start" localSheetId="16">#REF!</definedName>
    <definedName name="Lunch_Start" localSheetId="14">#REF!</definedName>
    <definedName name="Lunch_Start">#REF!</definedName>
    <definedName name="Lunch_Stop" localSheetId="16">#REF!</definedName>
    <definedName name="Lunch_Stop">#REF!</definedName>
    <definedName name="luxury_car?">'[3]Data Entry'!$J$52</definedName>
    <definedName name="luxury_vehicle_limit">'[3]Data Entry'!$M$9</definedName>
    <definedName name="ly">[13]DATA!#REF!</definedName>
    <definedName name="MarAllDraw" localSheetId="16">#REF!,#REF!</definedName>
    <definedName name="MarAllDraw">#REF!,#REF!</definedName>
    <definedName name="MarAllRep" localSheetId="16">#REF!,#REF!</definedName>
    <definedName name="MarAllRep">#REF!,#REF!</definedName>
    <definedName name="MarApp2Bal" localSheetId="16">#REF!</definedName>
    <definedName name="MarApp2Bal">#REF!</definedName>
    <definedName name="MarApp2OB" localSheetId="16">#REF!</definedName>
    <definedName name="MarApp2OB">#REF!</definedName>
    <definedName name="MarApp2Share" localSheetId="16">#REF!</definedName>
    <definedName name="MarApp2Share">#REF!</definedName>
    <definedName name="MarApp3Bal" localSheetId="16">#REF!</definedName>
    <definedName name="MarApp3Bal">#REF!</definedName>
    <definedName name="MarApp3OB" localSheetId="16">#REF!</definedName>
    <definedName name="MarApp3OB">#REF!</definedName>
    <definedName name="MarApp3Share" localSheetId="16">#REF!</definedName>
    <definedName name="MarApp3Share">#REF!</definedName>
    <definedName name="MarApp4Bal" localSheetId="16">#REF!</definedName>
    <definedName name="MarApp4Bal">#REF!</definedName>
    <definedName name="MarApp4OB" localSheetId="16">#REF!</definedName>
    <definedName name="MarApp4OB">#REF!</definedName>
    <definedName name="MarApp4Share" localSheetId="16">#REF!</definedName>
    <definedName name="MarApp4Share">#REF!</definedName>
    <definedName name="MarApp5Bal" localSheetId="16">#REF!</definedName>
    <definedName name="MarApp5Bal">#REF!</definedName>
    <definedName name="MarApp5OB" localSheetId="16">#REF!</definedName>
    <definedName name="MarApp5OB">#REF!</definedName>
    <definedName name="MarApp5Share" localSheetId="16">#REF!</definedName>
    <definedName name="MarApp5Share">#REF!</definedName>
    <definedName name="MarApp6Bal" localSheetId="16">#REF!</definedName>
    <definedName name="MarApp6Bal">#REF!</definedName>
    <definedName name="MarApp6OB" localSheetId="16">#REF!</definedName>
    <definedName name="MarApp6OB">#REF!</definedName>
    <definedName name="MarApp6Share" localSheetId="16">#REF!</definedName>
    <definedName name="MarApp6Share">#REF!</definedName>
    <definedName name="MarBal" localSheetId="16">#REF!</definedName>
    <definedName name="MarBal">#REF!</definedName>
    <definedName name="MarBP" localSheetId="16">#REF!</definedName>
    <definedName name="MarBP">#REF!</definedName>
    <definedName name="MarBusDraw" localSheetId="16">#REF!</definedName>
    <definedName name="MarBusDraw">#REF!</definedName>
    <definedName name="MarBusDrawApp" localSheetId="16">#REF!</definedName>
    <definedName name="MarBusDrawApp">#REF!</definedName>
    <definedName name="MarFees" localSheetId="16">#REF!</definedName>
    <definedName name="MarFees">#REF!</definedName>
    <definedName name="MarGenRep" localSheetId="16">#REF!</definedName>
    <definedName name="MarGenRep">#REF!</definedName>
    <definedName name="MarInt" localSheetId="16">#REF!</definedName>
    <definedName name="MarInt">#REF!</definedName>
    <definedName name="MarOB" localSheetId="16">#REF!</definedName>
    <definedName name="MarOB">#REF!</definedName>
    <definedName name="MarOpenBP" localSheetId="16">#REF!</definedName>
    <definedName name="MarOpenBP">#REF!</definedName>
    <definedName name="MarPersBal" localSheetId="16">#REF!</definedName>
    <definedName name="MarPersBal">#REF!</definedName>
    <definedName name="MarPersDraw" localSheetId="16">#REF!</definedName>
    <definedName name="MarPersDraw">#REF!</definedName>
    <definedName name="MarPersOB" localSheetId="16">#REF!</definedName>
    <definedName name="MarPersOB">#REF!</definedName>
    <definedName name="MarPersShare" localSheetId="16">#REF!</definedName>
    <definedName name="MarPersShare">#REF!</definedName>
    <definedName name="MarSpecRep" localSheetId="16">#REF!</definedName>
    <definedName name="MarSpecRep">#REF!</definedName>
    <definedName name="MarSpecRepApp" localSheetId="16">#REF!</definedName>
    <definedName name="MarSpecRepApp">#REF!</definedName>
    <definedName name="Max_Dates">[16]Inputs!$B$20:$B$65536</definedName>
    <definedName name="MayAllDraw" localSheetId="16">#REF!,#REF!</definedName>
    <definedName name="MayAllDraw">#REF!,#REF!</definedName>
    <definedName name="MayAllRep" localSheetId="16">#REF!,#REF!</definedName>
    <definedName name="MayAllRep">#REF!,#REF!</definedName>
    <definedName name="MayApp2Bal" localSheetId="16">#REF!</definedName>
    <definedName name="MayApp2Bal">#REF!</definedName>
    <definedName name="MayApp2OB" localSheetId="16">#REF!</definedName>
    <definedName name="MayApp2OB">#REF!</definedName>
    <definedName name="MayApp2Share" localSheetId="16">#REF!</definedName>
    <definedName name="MayApp2Share">#REF!</definedName>
    <definedName name="MayApp3Bal" localSheetId="16">#REF!</definedName>
    <definedName name="MayApp3Bal">#REF!</definedName>
    <definedName name="MayApp3OB" localSheetId="16">#REF!</definedName>
    <definedName name="MayApp3OB">#REF!</definedName>
    <definedName name="MayApp3Share" localSheetId="16">#REF!</definedName>
    <definedName name="MayApp3Share">#REF!</definedName>
    <definedName name="MayApp4Bal" localSheetId="16">#REF!</definedName>
    <definedName name="MayApp4Bal">#REF!</definedName>
    <definedName name="MayApp4OB" localSheetId="16">#REF!</definedName>
    <definedName name="MayApp4OB">#REF!</definedName>
    <definedName name="MayApp4Share" localSheetId="16">#REF!</definedName>
    <definedName name="MayApp4Share">#REF!</definedName>
    <definedName name="MayApp5Bal" localSheetId="16">#REF!</definedName>
    <definedName name="MayApp5Bal">#REF!</definedName>
    <definedName name="MayApp5OB" localSheetId="16">#REF!</definedName>
    <definedName name="MayApp5OB">#REF!</definedName>
    <definedName name="MayApp5Share" localSheetId="16">#REF!</definedName>
    <definedName name="MayApp5Share">#REF!</definedName>
    <definedName name="MayApp6Bal" localSheetId="16">#REF!</definedName>
    <definedName name="MayApp6Bal">#REF!</definedName>
    <definedName name="MayApp6OB" localSheetId="16">#REF!</definedName>
    <definedName name="MayApp6OB">#REF!</definedName>
    <definedName name="MayApp6Share" localSheetId="16">#REF!</definedName>
    <definedName name="MayApp6Share">#REF!</definedName>
    <definedName name="MayBal" localSheetId="16">#REF!</definedName>
    <definedName name="MayBal">#REF!</definedName>
    <definedName name="MayBP" localSheetId="16">#REF!</definedName>
    <definedName name="MayBP">#REF!</definedName>
    <definedName name="MayBusDraw" localSheetId="16">#REF!</definedName>
    <definedName name="MayBusDraw">#REF!</definedName>
    <definedName name="MayBusDrawApp" localSheetId="16">#REF!</definedName>
    <definedName name="MayBusDrawApp">#REF!</definedName>
    <definedName name="MayFees" localSheetId="16">#REF!</definedName>
    <definedName name="MayFees">#REF!</definedName>
    <definedName name="MayGenRep" localSheetId="16">#REF!</definedName>
    <definedName name="MayGenRep">#REF!</definedName>
    <definedName name="MayInt" localSheetId="16">#REF!</definedName>
    <definedName name="MayInt">#REF!</definedName>
    <definedName name="MayOB" localSheetId="16">#REF!</definedName>
    <definedName name="MayOB">#REF!</definedName>
    <definedName name="MayOpenBP" localSheetId="16">#REF!</definedName>
    <definedName name="MayOpenBP">#REF!</definedName>
    <definedName name="MayPersBal" localSheetId="16">#REF!</definedName>
    <definedName name="MayPersBal">#REF!</definedName>
    <definedName name="MayPersDraw" localSheetId="16">#REF!</definedName>
    <definedName name="MayPersDraw">#REF!</definedName>
    <definedName name="MayPersOB" localSheetId="16">#REF!</definedName>
    <definedName name="MayPersOB">#REF!</definedName>
    <definedName name="MayPersShare" localSheetId="16">#REF!</definedName>
    <definedName name="MayPersShare">#REF!</definedName>
    <definedName name="MaySpecRep" localSheetId="16">#REF!</definedName>
    <definedName name="MaySpecRep">#REF!</definedName>
    <definedName name="MaySpecRepApp" localSheetId="16">#REF!</definedName>
    <definedName name="MaySpecRepApp">#REF!</definedName>
    <definedName name="MBF">[4]MoneyHistory!$G$3:$I$28</definedName>
    <definedName name="Method">'[1]10 rental'!$P:$P</definedName>
    <definedName name="min_lease_paymts">'[18]HP - Mazda BLT87W'!$H$13</definedName>
    <definedName name="MinRepmt" localSheetId="16">#REF!</definedName>
    <definedName name="MinRepmt" localSheetId="14">#REF!</definedName>
    <definedName name="MinRepmt">#REF!</definedName>
    <definedName name="Model_Rental.OtherIncome" localSheetId="16">#REF!</definedName>
    <definedName name="Model_Rental.OtherIncome" localSheetId="14">#REF!</definedName>
    <definedName name="Model_Rental.OtherIncome">#REF!</definedName>
    <definedName name="MoneyHistory">[4]MoneyHistory!$A$3:$E$51</definedName>
    <definedName name="Mortgages" localSheetId="16">#REF!</definedName>
    <definedName name="Mortgages" localSheetId="14">#REF!</definedName>
    <definedName name="Mortgages">#REF!</definedName>
    <definedName name="MortgagesC" localSheetId="16">#REF!</definedName>
    <definedName name="MortgagesC" localSheetId="14">#REF!</definedName>
    <definedName name="MortgagesC">#REF!</definedName>
    <definedName name="N01PShip" localSheetId="16">#REF!</definedName>
    <definedName name="N01PShip" localSheetId="14">#REF!</definedName>
    <definedName name="N01PShip">#REF!</definedName>
    <definedName name="N01PShipC" localSheetId="16">#REF!</definedName>
    <definedName name="N01PShipC">#REF!</definedName>
    <definedName name="name">[19]static!$B$2</definedName>
    <definedName name="nasar">'[7]WP Index'!#REF!</definedName>
    <definedName name="NCAInvestments" localSheetId="16">#REF!</definedName>
    <definedName name="NCAInvestments" localSheetId="14">#REF!</definedName>
    <definedName name="NCAInvestments">#REF!</definedName>
    <definedName name="NCAInvestmentsC" localSheetId="16">#REF!</definedName>
    <definedName name="NCAInvestmentsC" localSheetId="14">#REF!</definedName>
    <definedName name="NCAInvestmentsC">#REF!</definedName>
    <definedName name="NCAOther" localSheetId="16">#REF!</definedName>
    <definedName name="NCAOther" localSheetId="14">#REF!</definedName>
    <definedName name="NCAOther">#REF!</definedName>
    <definedName name="NCAOtherC" localSheetId="16">#REF!</definedName>
    <definedName name="NCAOtherC">#REF!</definedName>
    <definedName name="NCARec" localSheetId="16">#REF!</definedName>
    <definedName name="NCARec">#REF!</definedName>
    <definedName name="NCARecC" localSheetId="16">#REF!</definedName>
    <definedName name="NCARecC">#REF!</definedName>
    <definedName name="NCLOtherC" localSheetId="16">#REF!</definedName>
    <definedName name="NCLOtherC">#REF!</definedName>
    <definedName name="NCLOtherLoans" localSheetId="16">#REF!</definedName>
    <definedName name="NCLOtherLoans">#REF!</definedName>
    <definedName name="NCLOtherLoansC" localSheetId="16">#REF!</definedName>
    <definedName name="NCLOtherLoansC">#REF!</definedName>
    <definedName name="NCLProvisions" localSheetId="16">#REF!</definedName>
    <definedName name="NCLProvisions">#REF!</definedName>
    <definedName name="NCLProvisionsC" localSheetId="16">#REF!</definedName>
    <definedName name="NCLProvisionsC">#REF!</definedName>
    <definedName name="net_inv">'[18]HP - Mazda BLT87W'!$H$14</definedName>
    <definedName name="New" localSheetId="16">#REF!</definedName>
    <definedName name="New" localSheetId="14">#REF!</definedName>
    <definedName name="New">#REF!</definedName>
    <definedName name="New_Interest">[16]Inputs!$L$4:$R$113</definedName>
    <definedName name="newkaus" localSheetId="16">#REF!</definedName>
    <definedName name="newkaus" localSheetId="14">#REF!</definedName>
    <definedName name="newkaus">#REF!</definedName>
    <definedName name="nites" localSheetId="14">[6]SSIncome!#REF!</definedName>
    <definedName name="nites">[6]SSIncome!#REF!</definedName>
    <definedName name="NitesPerTrip">'[4]2008'!$C$72</definedName>
    <definedName name="Non_Current_Assets">#N/A</definedName>
    <definedName name="NovAllDraw">#REF!,#REF!</definedName>
    <definedName name="NovAllRep" localSheetId="16">#REF!,#REF!</definedName>
    <definedName name="NovAllRep">#REF!,#REF!</definedName>
    <definedName name="NovApp2Bal" localSheetId="16">#REF!</definedName>
    <definedName name="NovApp2Bal">#REF!</definedName>
    <definedName name="NovApp2OB" localSheetId="16">#REF!</definedName>
    <definedName name="NovApp2OB">#REF!</definedName>
    <definedName name="NovApp2Share" localSheetId="16">#REF!</definedName>
    <definedName name="NovApp2Share">#REF!</definedName>
    <definedName name="NovApp3Bal" localSheetId="16">#REF!</definedName>
    <definedName name="NovApp3Bal">#REF!</definedName>
    <definedName name="NovApp3OB" localSheetId="16">#REF!</definedName>
    <definedName name="NovApp3OB">#REF!</definedName>
    <definedName name="NovApp3Share" localSheetId="16">#REF!</definedName>
    <definedName name="NovApp3Share">#REF!</definedName>
    <definedName name="NovApp4Bal" localSheetId="16">#REF!</definedName>
    <definedName name="NovApp4Bal">#REF!</definedName>
    <definedName name="NovApp4OB" localSheetId="16">#REF!</definedName>
    <definedName name="NovApp4OB">#REF!</definedName>
    <definedName name="NovApp4Share" localSheetId="16">#REF!</definedName>
    <definedName name="NovApp4Share">#REF!</definedName>
    <definedName name="NovApp5Bal" localSheetId="16">#REF!</definedName>
    <definedName name="NovApp5Bal">#REF!</definedName>
    <definedName name="NovApp5OB" localSheetId="16">#REF!</definedName>
    <definedName name="NovApp5OB">#REF!</definedName>
    <definedName name="NovApp5Share" localSheetId="16">#REF!</definedName>
    <definedName name="NovApp5Share">#REF!</definedName>
    <definedName name="NovApp6Bal" localSheetId="16">#REF!</definedName>
    <definedName name="NovApp6Bal">#REF!</definedName>
    <definedName name="NovApp6OB" localSheetId="16">#REF!</definedName>
    <definedName name="NovApp6OB">#REF!</definedName>
    <definedName name="NovApp6Share" localSheetId="16">#REF!</definedName>
    <definedName name="NovApp6Share">#REF!</definedName>
    <definedName name="NovBal" localSheetId="16">#REF!</definedName>
    <definedName name="NovBal">#REF!</definedName>
    <definedName name="NovBP" localSheetId="16">#REF!</definedName>
    <definedName name="NovBP">#REF!</definedName>
    <definedName name="NovBusDraw" localSheetId="16">#REF!</definedName>
    <definedName name="NovBusDraw">#REF!</definedName>
    <definedName name="NovBusDrawApp" localSheetId="16">#REF!</definedName>
    <definedName name="NovBusDrawApp">#REF!</definedName>
    <definedName name="NovFees" localSheetId="16">#REF!</definedName>
    <definedName name="NovFees">#REF!</definedName>
    <definedName name="NovGenRep" localSheetId="16">#REF!</definedName>
    <definedName name="NovGenRep">#REF!</definedName>
    <definedName name="NovInt" localSheetId="16">#REF!</definedName>
    <definedName name="NovInt">#REF!</definedName>
    <definedName name="NovOB" localSheetId="16">#REF!</definedName>
    <definedName name="NovOB">#REF!</definedName>
    <definedName name="NovOpenBP" localSheetId="16">#REF!</definedName>
    <definedName name="NovOpenBP">#REF!</definedName>
    <definedName name="NovPersBal" localSheetId="16">#REF!</definedName>
    <definedName name="NovPersBal">#REF!</definedName>
    <definedName name="NovPersDraw" localSheetId="16">#REF!</definedName>
    <definedName name="NovPersDraw">#REF!</definedName>
    <definedName name="NovPersOB" localSheetId="16">#REF!</definedName>
    <definedName name="NovPersOB">#REF!</definedName>
    <definedName name="NovPersShare" localSheetId="16">#REF!</definedName>
    <definedName name="NovPersShare">#REF!</definedName>
    <definedName name="NovSpecRep" localSheetId="16">#REF!</definedName>
    <definedName name="NovSpecRep">#REF!</definedName>
    <definedName name="NovSpecRepApp" localSheetId="16">#REF!</definedName>
    <definedName name="NovSpecRepApp">#REF!</definedName>
    <definedName name="NSCTotalCurrentYear" localSheetId="16">#REF!,#REF!,#REF!,#REF!,#REF!,#REF!,#REF!,#REF!,#REF!,#REF!</definedName>
    <definedName name="NSCTotalCurrentYear" localSheetId="14">#REF!,#REF!,#REF!,#REF!,#REF!,#REF!,#REF!,#REF!,#REF!,#REF!</definedName>
    <definedName name="NSCTotalCurrentYear">#REF!,#REF!,#REF!,#REF!,#REF!,#REF!,#REF!,#REF!,#REF!,#REF!</definedName>
    <definedName name="NSCTotalLastYear" localSheetId="16">#REF!,#REF!,#REF!,#REF!,#REF!,#REF!,#REF!,#REF!,#REF!,#REF!</definedName>
    <definedName name="NSCTotalLastYear" localSheetId="14">#REF!,#REF!,#REF!,#REF!,#REF!,#REF!,#REF!,#REF!,#REF!,#REF!</definedName>
    <definedName name="NSCTotalLastYear">#REF!,#REF!,#REF!,#REF!,#REF!,#REF!,#REF!,#REF!,#REF!,#REF!</definedName>
    <definedName name="num">[19]static!$B$1</definedName>
    <definedName name="Number_of_stamp_duty_payments">'[3]Data Entry'!$G$59</definedName>
    <definedName name="OctAllDraw" localSheetId="16">#REF!,#REF!</definedName>
    <definedName name="OctAllDraw">#REF!,#REF!</definedName>
    <definedName name="OctAllRep" localSheetId="16">#REF!,#REF!</definedName>
    <definedName name="OctAllRep">#REF!,#REF!</definedName>
    <definedName name="OctApp2Bal" localSheetId="16">#REF!</definedName>
    <definedName name="OctApp2Bal">#REF!</definedName>
    <definedName name="OctApp2OB" localSheetId="16">#REF!</definedName>
    <definedName name="OctApp2OB">#REF!</definedName>
    <definedName name="OctApp2Share" localSheetId="16">#REF!</definedName>
    <definedName name="OctApp2Share">#REF!</definedName>
    <definedName name="OctApp3Bal" localSheetId="16">#REF!</definedName>
    <definedName name="OctApp3Bal">#REF!</definedName>
    <definedName name="OctApp3OB" localSheetId="16">#REF!</definedName>
    <definedName name="OctApp3OB">#REF!</definedName>
    <definedName name="OctApp3Share" localSheetId="16">#REF!</definedName>
    <definedName name="OctApp3Share">#REF!</definedName>
    <definedName name="OctApp4Bal" localSheetId="16">#REF!</definedName>
    <definedName name="OctApp4Bal">#REF!</definedName>
    <definedName name="OctApp4OB" localSheetId="16">#REF!</definedName>
    <definedName name="OctApp4OB">#REF!</definedName>
    <definedName name="OctApp4Share" localSheetId="16">#REF!</definedName>
    <definedName name="OctApp4Share">#REF!</definedName>
    <definedName name="OctApp5Bal" localSheetId="16">#REF!</definedName>
    <definedName name="OctApp5Bal">#REF!</definedName>
    <definedName name="OctApp5OB" localSheetId="16">#REF!</definedName>
    <definedName name="OctApp5OB">#REF!</definedName>
    <definedName name="OctApp5Share" localSheetId="16">#REF!</definedName>
    <definedName name="OctApp5Share">#REF!</definedName>
    <definedName name="OctApp6Bal" localSheetId="16">#REF!</definedName>
    <definedName name="OctApp6Bal">#REF!</definedName>
    <definedName name="OctApp6OB" localSheetId="16">#REF!</definedName>
    <definedName name="OctApp6OB">#REF!</definedName>
    <definedName name="OctApp6Share" localSheetId="16">#REF!</definedName>
    <definedName name="OctApp6Share">#REF!</definedName>
    <definedName name="OctBal" localSheetId="16">#REF!</definedName>
    <definedName name="OctBal">#REF!</definedName>
    <definedName name="OctBP" localSheetId="16">#REF!</definedName>
    <definedName name="OctBP">#REF!</definedName>
    <definedName name="OctBusDraw" localSheetId="16">#REF!</definedName>
    <definedName name="OctBusDraw">#REF!</definedName>
    <definedName name="OctBusDrawApp" localSheetId="16">#REF!</definedName>
    <definedName name="OctBusDrawApp">#REF!</definedName>
    <definedName name="OctFees" localSheetId="16">#REF!</definedName>
    <definedName name="OctFees">#REF!</definedName>
    <definedName name="OctGenRep" localSheetId="16">#REF!</definedName>
    <definedName name="OctGenRep">#REF!</definedName>
    <definedName name="OctInt" localSheetId="16">#REF!</definedName>
    <definedName name="OctInt">#REF!</definedName>
    <definedName name="OctOB" localSheetId="16">#REF!</definedName>
    <definedName name="OctOB">#REF!</definedName>
    <definedName name="OctOpenBP" localSheetId="16">#REF!</definedName>
    <definedName name="OctOpenBP">#REF!</definedName>
    <definedName name="OctPersBal" localSheetId="16">#REF!</definedName>
    <definedName name="OctPersBal">#REF!</definedName>
    <definedName name="OctPersDraw" localSheetId="16">#REF!</definedName>
    <definedName name="OctPersDraw">#REF!</definedName>
    <definedName name="OctPersOB" localSheetId="16">#REF!</definedName>
    <definedName name="OctPersOB">#REF!</definedName>
    <definedName name="OctPersShare" localSheetId="16">#REF!</definedName>
    <definedName name="OctPersShare">#REF!</definedName>
    <definedName name="OctSpecRep" localSheetId="16">#REF!</definedName>
    <definedName name="OctSpecRep">#REF!</definedName>
    <definedName name="OctSpecRepApp" localSheetId="16">#REF!</definedName>
    <definedName name="OctSpecRepApp">#REF!</definedName>
    <definedName name="OPAfterTax" localSheetId="16">#REF!</definedName>
    <definedName name="OPAfterTax" localSheetId="14">#REF!</definedName>
    <definedName name="OPAfterTax">#REF!</definedName>
    <definedName name="OPAfterTaxC" localSheetId="16">#REF!</definedName>
    <definedName name="OPAfterTaxC" localSheetId="14">#REF!</definedName>
    <definedName name="OPAfterTaxC">#REF!</definedName>
    <definedName name="OpBal" localSheetId="16">#REF!</definedName>
    <definedName name="OpBal" localSheetId="14">#REF!</definedName>
    <definedName name="OpBal">#REF!</definedName>
    <definedName name="OpenApp2Bal" localSheetId="16">#REF!</definedName>
    <definedName name="OpenApp2Bal">#REF!</definedName>
    <definedName name="OpenApp3Bal" localSheetId="16">#REF!</definedName>
    <definedName name="OpenApp3Bal">#REF!</definedName>
    <definedName name="OpenApp4Bal" localSheetId="16">#REF!</definedName>
    <definedName name="OpenApp4Bal">#REF!</definedName>
    <definedName name="OpenApp5Bal" localSheetId="16">#REF!</definedName>
    <definedName name="OpenApp5Bal">#REF!</definedName>
    <definedName name="OpenApp6Bal" localSheetId="16">#REF!</definedName>
    <definedName name="OpenApp6Bal">#REF!</definedName>
    <definedName name="OpenPersBal" localSheetId="16">#REF!</definedName>
    <definedName name="OpenPersBal">#REF!</definedName>
    <definedName name="option" localSheetId="16">#REF!</definedName>
    <definedName name="option">#REF!</definedName>
    <definedName name="OWDV">'[1]10 rental'!$F:$F</definedName>
    <definedName name="Oz_Stations" localSheetId="16">#REF!</definedName>
    <definedName name="Oz_Stations" localSheetId="14">#REF!</definedName>
    <definedName name="Oz_Stations">#REF!</definedName>
    <definedName name="PAGE1" localSheetId="16">#REF!</definedName>
    <definedName name="PAGE1" localSheetId="14">#REF!</definedName>
    <definedName name="PAGE1">#REF!</definedName>
    <definedName name="Partner">[20]Index!$V$1:$V$3</definedName>
    <definedName name="Partnership" localSheetId="16">#REF!</definedName>
    <definedName name="Partnership" localSheetId="14">#REF!</definedName>
    <definedName name="Partnership">#REF!</definedName>
    <definedName name="PartnershipC" localSheetId="16">#REF!</definedName>
    <definedName name="PartnershipC" localSheetId="14">#REF!</definedName>
    <definedName name="PartnershipC">#REF!</definedName>
    <definedName name="Pay_at" localSheetId="16">#REF!</definedName>
    <definedName name="Pay_at" localSheetId="14">#REF!</definedName>
    <definedName name="Pay_at">#REF!</definedName>
    <definedName name="payment.Num" localSheetId="16">IF(OR(#REF!="",#REF!='CGT Property'!Total_payments),"",#REF!+1)</definedName>
    <definedName name="payment.Num" localSheetId="14">IF(OR(#REF!="",#REF!='Rental Property'!Total_payments),"",#REF!+1)</definedName>
    <definedName name="payment.Num">IF(OR(#REF!="",#REF!=Total_payments),"",#REF!+1)</definedName>
    <definedName name="Payments_per_year" localSheetId="16">#REF!</definedName>
    <definedName name="Payments_per_year">#REF!</definedName>
    <definedName name="PaymentsPerYear" localSheetId="16">#REF!</definedName>
    <definedName name="PaymentsPerYear">#REF!</definedName>
    <definedName name="pc">'[11]Inputs and assumptions'!$D$10</definedName>
    <definedName name="Penalty_label">[16]Inputs!$I$4:$I$8</definedName>
    <definedName name="Period">'[1]10 rental'!$B$5</definedName>
    <definedName name="PeriodEndDate">[12]Home!$F$14</definedName>
    <definedName name="Periodic_rate" localSheetId="16">'CGT Property'!Annual_interest_rate/'CGT Property'!Payments_per_year</definedName>
    <definedName name="Periodic_rate" localSheetId="14">'Rental Property'!Annual_interest_rate/Payments_per_year</definedName>
    <definedName name="Periodic_rate">Annual_interest_rate/Payments_per_year</definedName>
    <definedName name="PeriodsInYear" localSheetId="16">'[21]Profit &amp; Loss'!#REF!</definedName>
    <definedName name="PeriodsInYear" localSheetId="14">'[22]Profit &amp; Loss'!#REF!</definedName>
    <definedName name="PeriodsInYear">'[22]Profit &amp; Loss'!#REF!</definedName>
    <definedName name="Pmt_to_use" localSheetId="16">#REF!</definedName>
    <definedName name="Pmt_to_use" localSheetId="14">#REF!</definedName>
    <definedName name="Pmt_to_use">#REF!</definedName>
    <definedName name="pp">'[11]Inputs and assumptions'!$D$7</definedName>
    <definedName name="PreparedBy">'[3]Set Up Names and Dates'!$E$13</definedName>
    <definedName name="PrePay" localSheetId="16">#REF!</definedName>
    <definedName name="PrePay" localSheetId="14">#REF!</definedName>
    <definedName name="PrePay">#REF!</definedName>
    <definedName name="PrePayC" localSheetId="16">#REF!</definedName>
    <definedName name="PrePayC" localSheetId="14">#REF!</definedName>
    <definedName name="PrePayC">#REF!</definedName>
    <definedName name="present_value">'[18]HP - Mazda BLT87W'!$H$14</definedName>
    <definedName name="Principal" localSheetId="16">IF(#REF!&lt;&gt;"",MIN(#REF!,'CGT Property'!Pmt_to_use-#REF!),"")</definedName>
    <definedName name="Principal" localSheetId="14">IF(#REF!&lt;&gt;"",MIN(#REF!,'Rental Property'!Pmt_to_use-#REF!),"")</definedName>
    <definedName name="Principal">IF(#REF!&lt;&gt;"",MIN(#REF!,Pmt_to_use-#REF!),"")</definedName>
    <definedName name="Principal_due_within_12_months" localSheetId="16">#REF!</definedName>
    <definedName name="Principal_due_within_12_months" localSheetId="14">#REF!</definedName>
    <definedName name="Principal_due_within_12_months">#REF!</definedName>
    <definedName name="_xlnm.Print_Area" localSheetId="21">'Foreign Income'!$A$1:$Q$10</definedName>
    <definedName name="_xlnm.Print_Area" localSheetId="2">'Summary - 1 Client name '!$B$3:$L$104</definedName>
    <definedName name="_xlnm.Print_Area" localSheetId="5">'Summary - 2 Client name '!$B$3:$L$104</definedName>
    <definedName name="print_area_HPPS" localSheetId="16">#REF!</definedName>
    <definedName name="print_area_HPPS" localSheetId="14">#REF!</definedName>
    <definedName name="print_area_HPPS">#REF!</definedName>
    <definedName name="print_index" localSheetId="16">'[7]WP Index'!#REF!</definedName>
    <definedName name="print_index" localSheetId="14">'[7]WP Index'!#REF!</definedName>
    <definedName name="print_index">'[7]WP Index'!#REF!</definedName>
    <definedName name="Print_Schedule" localSheetId="16">#REF!</definedName>
    <definedName name="Print_Schedule" localSheetId="14">#REF!</definedName>
    <definedName name="Print_Schedule">#REF!</definedName>
    <definedName name="PrintArea_SET" localSheetId="16">OFFSET(#REF!,,,'CGT Property'!LastRow,'CGT Property'!LastCol)</definedName>
    <definedName name="PrintArea_SET" localSheetId="14">OFFSET(#REF!,,,'Rental Property'!LastRow,'Rental Property'!LastCol)</definedName>
    <definedName name="PrintArea_SET">OFFSET(#REF!,,,LastRow,LastCol)</definedName>
    <definedName name="Printing_Worksheets.">#N/A</definedName>
    <definedName name="private_car_logbook_no" localSheetId="16">'[2]Planning Memo'!#REF!</definedName>
    <definedName name="private_car_logbook_no" localSheetId="14">'[2]Planning Memo'!#REF!</definedName>
    <definedName name="private_car_logbook_no">'[2]Planning Memo'!#REF!</definedName>
    <definedName name="private_car_no" localSheetId="16">'[2]Planning Memo'!#REF!</definedName>
    <definedName name="private_car_no" localSheetId="14">'[2]Planning Memo'!#REF!</definedName>
    <definedName name="private_car_no">'[2]Planning Memo'!#REF!</definedName>
    <definedName name="Proceeds">'[1]10 rental'!$H:$H</definedName>
    <definedName name="PumpAverageDhs">[4]MoneyHistory!$L$2</definedName>
    <definedName name="purchase_price">'[3]Data Entry'!$G$32</definedName>
    <definedName name="Purchase_price_net">'[3]Data Entry'!$G$25</definedName>
    <definedName name="PV_comparison">'[18]HP - Mazda BLT87W'!$V$11</definedName>
    <definedName name="QA_CHECKLIST">'[7]WP Index'!#REF!</definedName>
    <definedName name="QA_CHECKLIST_INDIVIDUAL_BUSINESS">'[7]WP Index'!#REF!</definedName>
    <definedName name="QA_CHECKLIST_PARTNERSHIP">'[7]WP Index'!#REF!</definedName>
    <definedName name="QA_CHECKLIST_TRUST">'[7]WP Index'!#REF!</definedName>
    <definedName name="Qtr2a" localSheetId="16">#REF!</definedName>
    <definedName name="Qtr2a" localSheetId="14">#REF!</definedName>
    <definedName name="Qtr2a">#REF!</definedName>
    <definedName name="Qtr2b" localSheetId="16">#REF!</definedName>
    <definedName name="Qtr2b" localSheetId="14">#REF!</definedName>
    <definedName name="Qtr2b">#REF!</definedName>
    <definedName name="Rate">'[1]10 rental'!$O:$O</definedName>
    <definedName name="Rates">#N/A</definedName>
    <definedName name="rcptCategories" localSheetId="14">#REF!</definedName>
    <definedName name="rcptCategories">#REF!</definedName>
    <definedName name="rcptSubCategories" localSheetId="16">#REF!</definedName>
    <definedName name="rcptSubCategories" localSheetId="14">#REF!</definedName>
    <definedName name="rcptSubCategories">#REF!</definedName>
    <definedName name="Reserves" localSheetId="16">#REF!</definedName>
    <definedName name="Reserves" localSheetId="14">#REF!</definedName>
    <definedName name="Reserves">#REF!</definedName>
    <definedName name="ReservesC" localSheetId="16">#REF!</definedName>
    <definedName name="ReservesC">#REF!</definedName>
    <definedName name="Residual">'[3]Data Entry'!$G$84</definedName>
    <definedName name="REVIEW_QUERY_ISSUES_SHEET">'[7]WP Index'!#REF!</definedName>
    <definedName name="ReviewedBy">'[3]Set Up Names and Dates'!$E$14</definedName>
    <definedName name="rm">[19]static!$B$3</definedName>
    <definedName name="RMName">[19]static!$B$4</definedName>
    <definedName name="RowTitleRegion1..E9" localSheetId="16">#REF!</definedName>
    <definedName name="RowTitleRegion1..E9" localSheetId="14">#REF!</definedName>
    <definedName name="RowTitleRegion1..E9">#REF!</definedName>
    <definedName name="RowTitleRegion2..I7" localSheetId="16">#REF!</definedName>
    <definedName name="RowTitleRegion2..I7" localSheetId="14">#REF!</definedName>
    <definedName name="RowTitleRegion2..I7">#REF!</definedName>
    <definedName name="RowTitleRegion3..E9" localSheetId="16">#REF!</definedName>
    <definedName name="RowTitleRegion3..E9" localSheetId="14">#REF!</definedName>
    <definedName name="RowTitleRegion3..E9">#REF!</definedName>
    <definedName name="RowTitleRegion4..H9" localSheetId="16">#REF!</definedName>
    <definedName name="RowTitleRegion4..H9">#REF!</definedName>
    <definedName name="RULE78">'[23]Rule of 78 Table'!$B$2:$AX$62</definedName>
    <definedName name="s" localSheetId="16">#REF!</definedName>
    <definedName name="s" localSheetId="14">#REF!</definedName>
    <definedName name="s">#REF!</definedName>
    <definedName name="SA160K" localSheetId="16">#REF!</definedName>
    <definedName name="SA160K" localSheetId="14">#REF!</definedName>
    <definedName name="SA160K">#REF!</definedName>
    <definedName name="SA90K" localSheetId="16">#REF!</definedName>
    <definedName name="SA90K" localSheetId="14">#REF!</definedName>
    <definedName name="SA90K">#REF!</definedName>
    <definedName name="SA90K160K" localSheetId="16">#REF!</definedName>
    <definedName name="SA90K160K">#REF!</definedName>
    <definedName name="SalaryChoice" localSheetId="16">#REF!</definedName>
    <definedName name="SalaryChoice">#REF!</definedName>
    <definedName name="SBE">'[7]Input Info'!$C$13</definedName>
    <definedName name="sc">'[11]Inputs and assumptions'!$D$43</definedName>
    <definedName name="Schedule_Lookup" localSheetId="16">#REF!</definedName>
    <definedName name="Schedule_Lookup" localSheetId="14">#REF!</definedName>
    <definedName name="Schedule_Lookup">#REF!</definedName>
    <definedName name="Schedule_top_left" localSheetId="16">#REF!</definedName>
    <definedName name="Schedule_top_left" localSheetId="14">#REF!</definedName>
    <definedName name="Schedule_top_left">#REF!</definedName>
    <definedName name="ScheduledNumberOfPayments" localSheetId="16">#REF!</definedName>
    <definedName name="ScheduledNumberOfPayments" localSheetId="14">#REF!</definedName>
    <definedName name="ScheduledNumberOfPayments">#REF!</definedName>
    <definedName name="ScheduledPayment" localSheetId="16">#REF!</definedName>
    <definedName name="ScheduledPayment">#REF!</definedName>
    <definedName name="sd" localSheetId="16">#REF!</definedName>
    <definedName name="sd">#REF!</definedName>
    <definedName name="sdp" localSheetId="16">[13]AMORT!#REF!</definedName>
    <definedName name="sdp">[13]AMORT!#REF!</definedName>
    <definedName name="SepAllDraw" localSheetId="16">#REF!,#REF!</definedName>
    <definedName name="SepAllDraw">#REF!,#REF!</definedName>
    <definedName name="SepAllRep" localSheetId="16">#REF!,#REF!</definedName>
    <definedName name="SepAllRep">#REF!,#REF!</definedName>
    <definedName name="SepApp2Bal" localSheetId="16">#REF!</definedName>
    <definedName name="SepApp2Bal">#REF!</definedName>
    <definedName name="SepApp2OB" localSheetId="16">#REF!</definedName>
    <definedName name="SepApp2OB">#REF!</definedName>
    <definedName name="SepApp2Share" localSheetId="16">#REF!</definedName>
    <definedName name="SepApp2Share">#REF!</definedName>
    <definedName name="SepApp3Bal" localSheetId="16">#REF!</definedName>
    <definedName name="SepApp3Bal">#REF!</definedName>
    <definedName name="SepApp3OB" localSheetId="16">#REF!</definedName>
    <definedName name="SepApp3OB">#REF!</definedName>
    <definedName name="SepApp3Share" localSheetId="16">#REF!</definedName>
    <definedName name="SepApp3Share">#REF!</definedName>
    <definedName name="SepApp4Bal" localSheetId="16">#REF!</definedName>
    <definedName name="SepApp4Bal">#REF!</definedName>
    <definedName name="SepApp4OB" localSheetId="16">#REF!</definedName>
    <definedName name="SepApp4OB">#REF!</definedName>
    <definedName name="SepApp4Share" localSheetId="16">#REF!</definedName>
    <definedName name="SepApp4Share">#REF!</definedName>
    <definedName name="SepApp5Bal" localSheetId="16">#REF!</definedName>
    <definedName name="SepApp5Bal">#REF!</definedName>
    <definedName name="SepApp5OB" localSheetId="16">#REF!</definedName>
    <definedName name="SepApp5OB">#REF!</definedName>
    <definedName name="SepApp5Share" localSheetId="16">#REF!</definedName>
    <definedName name="SepApp5Share">#REF!</definedName>
    <definedName name="SepApp6Bal" localSheetId="16">#REF!</definedName>
    <definedName name="SepApp6Bal">#REF!</definedName>
    <definedName name="SepApp6OB" localSheetId="16">#REF!</definedName>
    <definedName name="SepApp6OB">#REF!</definedName>
    <definedName name="SepApp6Share" localSheetId="16">#REF!</definedName>
    <definedName name="SepApp6Share">#REF!</definedName>
    <definedName name="SepBal" localSheetId="16">#REF!</definedName>
    <definedName name="SepBal">#REF!</definedName>
    <definedName name="SepBP" localSheetId="16">#REF!</definedName>
    <definedName name="SepBP">#REF!</definedName>
    <definedName name="SepBusDraw" localSheetId="16">#REF!</definedName>
    <definedName name="SepBusDraw">#REF!</definedName>
    <definedName name="SepBusDrawApp" localSheetId="16">#REF!</definedName>
    <definedName name="SepBusDrawApp">#REF!</definedName>
    <definedName name="SepFees" localSheetId="16">#REF!</definedName>
    <definedName name="SepFees">#REF!</definedName>
    <definedName name="SepGenRep" localSheetId="16">#REF!</definedName>
    <definedName name="SepGenRep">#REF!</definedName>
    <definedName name="SepInt" localSheetId="16">#REF!</definedName>
    <definedName name="SepInt">#REF!</definedName>
    <definedName name="SepOB" localSheetId="16">#REF!</definedName>
    <definedName name="SepOB">#REF!</definedName>
    <definedName name="SepOpenBP" localSheetId="16">#REF!</definedName>
    <definedName name="SepOpenBP">#REF!</definedName>
    <definedName name="SepPersBal" localSheetId="16">#REF!</definedName>
    <definedName name="SepPersBal">#REF!</definedName>
    <definedName name="SepPersDraw" localSheetId="16">#REF!</definedName>
    <definedName name="SepPersDraw">#REF!</definedName>
    <definedName name="SepPersOB" localSheetId="16">#REF!</definedName>
    <definedName name="SepPersOB">#REF!</definedName>
    <definedName name="SepPersShare" localSheetId="16">#REF!</definedName>
    <definedName name="SepPersShare">#REF!</definedName>
    <definedName name="SepSpecRep" localSheetId="16">#REF!</definedName>
    <definedName name="SepSpecRep">#REF!</definedName>
    <definedName name="SepSpecRepApp" localSheetId="16">#REF!</definedName>
    <definedName name="SepSpecRepApp">#REF!</definedName>
    <definedName name="sgc">'[7]Wages Reconciliation'!$H$14</definedName>
    <definedName name="ShareCapital" localSheetId="16">#REF!</definedName>
    <definedName name="ShareCapital" localSheetId="14">#REF!</definedName>
    <definedName name="ShareCapital">#REF!</definedName>
    <definedName name="ShareCapitalC" localSheetId="16">#REF!</definedName>
    <definedName name="ShareCapitalC" localSheetId="14">#REF!</definedName>
    <definedName name="ShareCapitalC">#REF!</definedName>
    <definedName name="Shareholders" localSheetId="16">#REF!</definedName>
    <definedName name="Shareholders" localSheetId="14">#REF!</definedName>
    <definedName name="Shareholders">#REF!</definedName>
    <definedName name="ShareholdersC" localSheetId="16">#REF!</definedName>
    <definedName name="ShareholdersC">#REF!</definedName>
    <definedName name="SheepNumbers" localSheetId="16">#REF!,#REF!,#REF!</definedName>
    <definedName name="SheepNumbers" localSheetId="14">#REF!,#REF!,#REF!</definedName>
    <definedName name="SheepNumbers">#REF!,#REF!,#REF!</definedName>
    <definedName name="Show.Date" localSheetId="16">IF(#REF!&lt;&gt;"",DATE(YEAR('CGT Property'!First_payment_due),MONTH('CGT Property'!First_payment_due)+(#REF!-1)*12/'CGT Property'!Payments_per_year,DAY('CGT Property'!First_payment_due)),"")</definedName>
    <definedName name="Show.Date" localSheetId="14">IF(#REF!&lt;&gt;"",DATE(YEAR('Rental Property'!First_payment_due),MONTH('Rental Property'!First_payment_due)+(#REF!-1)*12/Payments_per_year,DAY('Rental Property'!First_payment_due)),"")</definedName>
    <definedName name="Show.Date">IF(#REF!&lt;&gt;"",DATE(YEAR(First_payment_due),MONTH(First_payment_due)+(#REF!-1)*12/Payments_per_year,DAY(First_payment_due)),"")</definedName>
    <definedName name="Spec" localSheetId="16">'[21]Profit &amp; Loss'!#REF!</definedName>
    <definedName name="Spec" localSheetId="14">'[22]Profit &amp; Loss'!#REF!</definedName>
    <definedName name="Spec">'[22]Profit &amp; Loss'!#REF!</definedName>
    <definedName name="Stamp_duty_amount">'[3]Data Entry'!$G$55</definedName>
    <definedName name="Stamp_duty_in_HP?">'[3]Data Entry'!$J$55</definedName>
    <definedName name="Start_Checklist_BAS_End_Row">'[2]Planning Memo'!#REF!</definedName>
    <definedName name="Start_Checklist_BAS_Section">'[2]Planning Memo'!#REF!</definedName>
    <definedName name="Start_Checklist_BAS_Start_Row">'[2]Planning Memo'!#REF!</definedName>
    <definedName name="Start_Date" localSheetId="16">#REF!</definedName>
    <definedName name="Start_Date" localSheetId="14">#REF!</definedName>
    <definedName name="Start_Date">#REF!</definedName>
    <definedName name="start_liability" localSheetId="16">#REF!</definedName>
    <definedName name="start_liability" localSheetId="14">#REF!</definedName>
    <definedName name="start_liability">#REF!</definedName>
    <definedName name="Startdate" localSheetId="16">#REF!</definedName>
    <definedName name="Startdate" localSheetId="14">#REF!</definedName>
    <definedName name="Startdate">#REF!</definedName>
    <definedName name="Startrange" localSheetId="16">#REF!</definedName>
    <definedName name="Startrange">#REF!</definedName>
    <definedName name="Status">[20]Index!$V$4:$V$6</definedName>
    <definedName name="StatusDescriptions">[12]Home!$J$49:$J$57</definedName>
    <definedName name="STS">'[7]Input Info'!$C$15</definedName>
    <definedName name="STS_Sheet">'[7]WP Index'!$E$48</definedName>
    <definedName name="STS_WORKSHEET">'[24]WP Index'!#REF!</definedName>
    <definedName name="STS_Worksheet_First_Year_Hide" localSheetId="16">#REF!</definedName>
    <definedName name="STS_Worksheet_First_Year_Hide" localSheetId="14">#REF!</definedName>
    <definedName name="STS_Worksheet_First_Year_Hide">#REF!</definedName>
    <definedName name="STS_Worksheet_First_Year_True" localSheetId="16">#REF!</definedName>
    <definedName name="STS_Worksheet_First_Year_True" localSheetId="14">#REF!</definedName>
    <definedName name="STS_Worksheet_First_Year_True">#REF!</definedName>
    <definedName name="STS_WORKSHEET_WORKPAPER">'[25]File Index'!$D$33</definedName>
    <definedName name="Sub_lease?">'[3]Data Entry'!$J$78</definedName>
    <definedName name="SuperRate">[4]Sheet1!$B$10</definedName>
    <definedName name="SydAccomCost">'[4]2008'!$C$71</definedName>
    <definedName name="SydFlightCost">'[4]2008'!$C$74</definedName>
    <definedName name="Table_beg_bal" localSheetId="16">#REF!</definedName>
    <definedName name="Table_beg_bal" localSheetId="14">#REF!</definedName>
    <definedName name="Table_beg_bal">#REF!</definedName>
    <definedName name="Table_prior_interest" localSheetId="16">#REF!</definedName>
    <definedName name="Table_prior_interest" localSheetId="14">#REF!</definedName>
    <definedName name="Table_prior_interest">#REF!</definedName>
    <definedName name="Table_start_date" localSheetId="16">#REF!</definedName>
    <definedName name="Table_start_date">#REF!</definedName>
    <definedName name="Table_start_pmt" localSheetId="16">#REF!</definedName>
    <definedName name="Table_start_pmt">#REF!</definedName>
    <definedName name="tax">'[11]Inputs and assumptions'!$D$46</definedName>
    <definedName name="Tax_column" localSheetId="16">#REF!</definedName>
    <definedName name="Tax_column" localSheetId="14">#REF!</definedName>
    <definedName name="Tax_column">#REF!</definedName>
    <definedName name="tax_rec_company_section" localSheetId="16">#REF!</definedName>
    <definedName name="tax_rec_company_section" localSheetId="14">#REF!</definedName>
    <definedName name="tax_rec_company_section">#REF!</definedName>
    <definedName name="Tax_Rec_cy_debtors" localSheetId="16">#REF!</definedName>
    <definedName name="Tax_Rec_cy_debtors" localSheetId="14">#REF!</definedName>
    <definedName name="Tax_Rec_cy_debtors">#REF!</definedName>
    <definedName name="tax_rec_individual_section" localSheetId="16">#REF!</definedName>
    <definedName name="tax_rec_individual_section">#REF!</definedName>
    <definedName name="tax_rec_partnership_section" localSheetId="16">#REF!</definedName>
    <definedName name="tax_rec_partnership_section">#REF!</definedName>
    <definedName name="Tax_Rec_PP" localSheetId="16">#REF!</definedName>
    <definedName name="Tax_Rec_PP">#REF!</definedName>
    <definedName name="Tax_Rec_Prov_Tax_Frank_Acc" localSheetId="16">#REF!</definedName>
    <definedName name="Tax_Rec_Prov_Tax_Frank_Acc">#REF!</definedName>
    <definedName name="Tax_Rec_SBE_py_debtors" localSheetId="16">#REF!</definedName>
    <definedName name="Tax_Rec_SBE_py_debtors">#REF!</definedName>
    <definedName name="tax_rec_tax_losses_transferred_in" localSheetId="16">#REF!</definedName>
    <definedName name="tax_rec_tax_losses_transferred_in">#REF!</definedName>
    <definedName name="tax_rec_trust_section" localSheetId="16">#REF!</definedName>
    <definedName name="tax_rec_trust_section">#REF!</definedName>
    <definedName name="Tax_Reconciliation">'[7]WP Index'!$E$10</definedName>
    <definedName name="TAX_RECONCILIATION_PP">'[25]File Index'!#REF!</definedName>
    <definedName name="TaxRate" localSheetId="16">#REF!</definedName>
    <definedName name="TaxRate" localSheetId="14">#REF!</definedName>
    <definedName name="TaxRate">#REF!</definedName>
    <definedName name="TaxRates_MCareLowerInc">'[12]Tax Rates'!$D$14</definedName>
    <definedName name="TaxRates_MCareMidInc1">'[12]Tax Rates'!$D$15</definedName>
    <definedName name="TaxRates_MCareMidInc2">'[12]Tax Rates'!$F$15</definedName>
    <definedName name="TaxRates_MCareMidPercentage">'[12]Tax Rates'!$H$15</definedName>
    <definedName name="TaxRates_MCareUpperInc">'[12]Tax Rates'!$D$16</definedName>
    <definedName name="TaxRates_MCareUpperPercentage">'[12]Tax Rates'!$H$16</definedName>
    <definedName name="TaxRates_PersonalInc1">'[12]Tax Rates'!$D$4</definedName>
    <definedName name="TaxRates_PersonalInc2b">'[12]Tax Rates'!$F$5</definedName>
    <definedName name="TaxRates_PersonalInc3a">'[12]Tax Rates'!$D$6</definedName>
    <definedName name="TaxRates_PersonalInc3b">'[12]Tax Rates'!$F$6</definedName>
    <definedName name="TaxRates_PersonalInc4a">'[12]Tax Rates'!$D$7</definedName>
    <definedName name="TaxRates_PersonalInc4b">'[12]Tax Rates'!$F$7</definedName>
    <definedName name="TaxRates_PersonalInc5">'[12]Tax Rates'!$D$8</definedName>
    <definedName name="TaxRates_PersonalRate2">'[12]Tax Rates'!$H$5</definedName>
    <definedName name="TaxRates_PersonalRate3">'[12]Tax Rates'!$H$6</definedName>
    <definedName name="TaxRates_PersonalRate4">'[12]Tax Rates'!$H$7</definedName>
    <definedName name="TaxRates_PersonalRate5">'[12]Tax Rates'!$H$8</definedName>
    <definedName name="TaxRates_PersonalTax2">'[12]Tax Rates'!$G$5</definedName>
    <definedName name="TaxRates_PersonalTax3">'[12]Tax Rates'!$G$6</definedName>
    <definedName name="TaxRates_PersonalTax4">'[12]Tax Rates'!$G$7</definedName>
    <definedName name="term">'[3]Data Entry'!$G$46</definedName>
    <definedName name="Term_in_years" localSheetId="16">#REF!</definedName>
    <definedName name="Term_in_years" localSheetId="14">#REF!</definedName>
    <definedName name="Term_in_years">#REF!</definedName>
    <definedName name="TextRefCopyRangeCount" hidden="1">2</definedName>
    <definedName name="total_cost" localSheetId="14">'[3]Data Entry'!#REF!</definedName>
    <definedName name="total_cost">'[3]Data Entry'!#REF!</definedName>
    <definedName name="Total_payments" localSheetId="16">'CGT Property'!Payments_per_year*'CGT Property'!Term_in_years</definedName>
    <definedName name="Total_payments" localSheetId="14">Payments_per_year*'Rental Property'!Term_in_years</definedName>
    <definedName name="Total_payments">Payments_per_year*Term_in_years</definedName>
    <definedName name="TotalEarlyPayments" localSheetId="16">SUM(#REF!)</definedName>
    <definedName name="TotalEarlyPayments" localSheetId="14">SUM(#REF!)</definedName>
    <definedName name="TotalEarlyPayments">SUM(#REF!)</definedName>
    <definedName name="TotalHPNumbers" localSheetId="16">#REF!,#REF!,#REF!,#REF!,#REF!,#REF!,#REF!,#REF!,#REF!,#REF!,#REF!,#REF!</definedName>
    <definedName name="TotalHPNumbers" localSheetId="14">#REF!,#REF!,#REF!,#REF!,#REF!,#REF!,#REF!,#REF!,#REF!,#REF!,#REF!,#REF!</definedName>
    <definedName name="TotalHPNumbers">#REF!,#REF!,#REF!,#REF!,#REF!,#REF!,#REF!,#REF!,#REF!,#REF!,#REF!,#REF!</definedName>
    <definedName name="TotalInterest" localSheetId="16">SUM(#REF!)</definedName>
    <definedName name="TotalInterest" localSheetId="14">SUM(#REF!)</definedName>
    <definedName name="TotalInterest">SUM(#REF!)</definedName>
    <definedName name="TotalNormalNumbers" localSheetId="16">#REF!,#REF!,#REF!,#REF!,#REF!,#REF!,#REF!,#REF!,#REF!,#REF!,#REF!,#REF!,#REF!,#REF!,#REF!,#REF!,#REF!,#REF!,#REF!,#REF!,#REF!</definedName>
    <definedName name="TotalNormalNumbers" localSheetId="14">#REF!,#REF!,#REF!,#REF!,#REF!,#REF!,#REF!,#REF!,#REF!,#REF!,#REF!,#REF!,#REF!,#REF!,#REF!,#REF!,#REF!,#REF!,#REF!,#REF!,#REF!</definedName>
    <definedName name="TotalNormalNumbers">#REF!,#REF!,#REF!,#REF!,#REF!,#REF!,#REF!,#REF!,#REF!,#REF!,#REF!,#REF!,#REF!,#REF!,#REF!,#REF!,#REF!,#REF!,#REF!,#REF!,#REF!</definedName>
    <definedName name="Track?">'[3]Data Entry'!$J$82</definedName>
    <definedName name="TrainingDaily">[4]Sheet1!$D$3</definedName>
    <definedName name="TransAmts" localSheetId="16">#REF!</definedName>
    <definedName name="TransAmts" localSheetId="14">#REF!</definedName>
    <definedName name="TransAmts">#REF!</definedName>
    <definedName name="TransCats" localSheetId="16">#REF!</definedName>
    <definedName name="TransCats" localSheetId="14">#REF!</definedName>
    <definedName name="TransCats">#REF!</definedName>
    <definedName name="TransList" localSheetId="16">#REF!</definedName>
    <definedName name="TransList" localSheetId="14">#REF!</definedName>
    <definedName name="TransList">#REF!</definedName>
    <definedName name="TransListAmts" localSheetId="16">#REF!</definedName>
    <definedName name="TransListAmts">#REF!</definedName>
    <definedName name="TransListCats" localSheetId="16">#REF!</definedName>
    <definedName name="TransListCats">#REF!</definedName>
    <definedName name="TRS_Item11FrCr">'[12]B01 Summary'!$J$62</definedName>
    <definedName name="TRS_Item14NetPSI">'[12]B01 Summary'!$J$100</definedName>
    <definedName name="TRS_Item16NPP">'[12]B01 Summary'!$J$113</definedName>
    <definedName name="TRS_Item16PP">'[12]B01 Summary'!$J$112</definedName>
    <definedName name="TRS_Item20ExemptForeignInc">'[12]B01 Summary'!$J$137</definedName>
    <definedName name="TRS_Item20NetForeignRent">'[12]B01 Summary'!$J$133</definedName>
    <definedName name="TRS_Item21NetRent">'[12]B01 Summary'!$J$144</definedName>
    <definedName name="TRS_OtherIncCat1">'[12]B01 Summary'!$J$150</definedName>
    <definedName name="TRS_OtherIncCat2">'[12]B01 Summary'!$J$154</definedName>
    <definedName name="TRS_TaxableIncome">'[12]B01 Summary'!$J$198</definedName>
    <definedName name="Trust_QA_Questions" localSheetId="16">#REF!</definedName>
    <definedName name="Trust_QA_Questions" localSheetId="14">#REF!</definedName>
    <definedName name="Trust_QA_Questions">#REF!</definedName>
    <definedName name="Ttl_V_Allowances" localSheetId="16">#REF!</definedName>
    <definedName name="Ttl_V_Allowances" localSheetId="14">#REF!</definedName>
    <definedName name="Ttl_V_Allowances">#REF!</definedName>
    <definedName name="Ttl_V_Hotel" localSheetId="16">#REF!</definedName>
    <definedName name="Ttl_V_Hotel" localSheetId="14">#REF!</definedName>
    <definedName name="Ttl_V_Hotel">#REF!</definedName>
    <definedName name="Ttl_V_Payslip" localSheetId="16">#REF!</definedName>
    <definedName name="Ttl_V_Payslip">#REF!</definedName>
    <definedName name="ttlEatingOut" localSheetId="16">[4]MoneyHistory!#REF!</definedName>
    <definedName name="ttlEatingOut">[4]MoneyHistory!#REF!</definedName>
    <definedName name="type">'[3]Data Entry'!$J$68</definedName>
    <definedName name="ujjn" localSheetId="16">#REF!</definedName>
    <definedName name="ujjn" localSheetId="14">#REF!</definedName>
    <definedName name="ujjn">#REF!</definedName>
    <definedName name="unearned_int" localSheetId="16">#REF!</definedName>
    <definedName name="unearned_int" localSheetId="14">#REF!</definedName>
    <definedName name="unearned_int">#REF!</definedName>
    <definedName name="V_Allow_Stations">[5]CurrencySum!$B$2:$N$4</definedName>
    <definedName name="V_Cash_Allow_Paid" localSheetId="16">#REF!</definedName>
    <definedName name="V_Cash_Allow_Paid" localSheetId="14">#REF!</definedName>
    <definedName name="V_Cash_Allow_Paid">#REF!</definedName>
    <definedName name="V_Exch_Rates">[5]CurrencySum!$A$5:$M$369</definedName>
    <definedName name="v_lookup_car_limit">'[3]Data Entry'!$L$10:$O$36</definedName>
    <definedName name="Valuedep">'[1]10 rental'!$M:$M</definedName>
    <definedName name="VbPayDate">[4]MoneyHistory!$AF$2</definedName>
    <definedName name="vertex42_copyright" hidden="1">"© 2009-2017 Vertex42 LLC"</definedName>
    <definedName name="vertex42_id" hidden="1">"interest-only-loan.xlsx"</definedName>
    <definedName name="vertex42_title" hidden="1">"Interest-Only Loan Calculator"</definedName>
    <definedName name="View_Auto_Filter">#REF!</definedName>
    <definedName name="Voluntary_disclosure">[16]Inputs!$U$4:$U$6</definedName>
    <definedName name="vtable_amort">'[3]amort cal to be hidden'!$A$7:$I$186</definedName>
    <definedName name="w" localSheetId="16">#REF!</definedName>
    <definedName name="w" localSheetId="14">#REF!</definedName>
    <definedName name="w">#REF!</definedName>
    <definedName name="wages_rec_nbr_employees">'[7]Wages Reconciliation'!$K$12</definedName>
    <definedName name="WapitiNumbers" localSheetId="16">#REF!,#REF!,#REF!</definedName>
    <definedName name="WapitiNumbers" localSheetId="14">#REF!,#REF!,#REF!</definedName>
    <definedName name="WapitiNumbers">#REF!,#REF!,#REF!</definedName>
    <definedName name="WARNING___Calculations_will_not_be_correct_until_you_enter_a_balance_date_on_the_Data_Entry_worksheet" localSheetId="16">#REF!</definedName>
    <definedName name="WARNING___Calculations_will_not_be_correct_until_you_enter_a_balance_date_on_the_Data_Entry_worksheet" localSheetId="14">#REF!</definedName>
    <definedName name="WARNING___Calculations_will_not_be_correct_until_you_enter_a_balance_date_on_the_Data_Entry_worksheet">#REF!</definedName>
    <definedName name="WCWDFY" localSheetId="16">'[7]WP Index'!#REF!</definedName>
    <definedName name="WCWDFY" localSheetId="14">'[7]WP Index'!#REF!</definedName>
    <definedName name="WCWDFY">'[7]WP Index'!#REF!</definedName>
    <definedName name="WhenList" localSheetId="16">[4]MoneyHistory!#REF!</definedName>
    <definedName name="WhenList" localSheetId="14">[4]MoneyHistory!#REF!</definedName>
    <definedName name="WhenList">[4]MoneyHistory!#REF!</definedName>
    <definedName name="WhereList">[4]MoneyHistory!$AD$3:$AD$8</definedName>
    <definedName name="Workpapers">#N/A</definedName>
    <definedName name="WP_AWB_Loan">'[7]WP Index'!$E$31</definedName>
    <definedName name="WP_Bank_Rec_2">'[7]WP Index'!#REF!</definedName>
    <definedName name="WP_Bank_Rec_3">'[7]WP Index'!#REF!</definedName>
    <definedName name="WP_Farm_Income_Split">'[7]WP Index'!$E$38</definedName>
    <definedName name="WP_FMD_Record">'[7]WP Index'!$E$52</definedName>
    <definedName name="WP_Franking_Acc_Rec">'[7]WP Index'!#REF!</definedName>
    <definedName name="WP_Franking_Account_Rec">'[7]WP Index'!#REF!</definedName>
    <definedName name="WP_HP">'[7]WP Index'!#REF!</definedName>
    <definedName name="WP_JOURNALS">'[24]WP Index'!#REF!</definedName>
    <definedName name="WP_Livestock">'[7]WP Index'!$E$18</definedName>
    <definedName name="WP_Mains_Electricity_Write_Off">'[7]WP Index'!$E$27</definedName>
    <definedName name="WP_Profit_Allocation_Estimates">'[7]WP Index'!#REF!</definedName>
    <definedName name="WP_Provision_for_Tax">'[7]WP Index'!#REF!</definedName>
    <definedName name="WP_STS_Av_Group_Turnover">'[7]WP Index'!#REF!</definedName>
    <definedName name="WP_STS_Worksheet">'[24]WP Index'!$E$71</definedName>
    <definedName name="WP_Water_Improvements_Write_Off">'[7]WP Index'!$E$26</definedName>
    <definedName name="wrn.Aging._.and._.Trend._.Analysis." localSheetId="16" hidden="1">{#N/A,#N/A,FALSE,"Aging Summary";#N/A,#N/A,FALSE,"Ratio Analysis";#N/A,#N/A,FALSE,"Test 120 Day Accts";#N/A,#N/A,FALSE,"Tickmarks"}</definedName>
    <definedName name="wrn.Aging._.and._.Trend._.Analysis." localSheetId="14" hidden="1">{#N/A,#N/A,FALSE,"Aging Summary";#N/A,#N/A,FALSE,"Ratio Analysis";#N/A,#N/A,FALSE,"Test 120 Day Accts";#N/A,#N/A,FALSE,"Tickmarks"}</definedName>
    <definedName name="wrn.Aging._.and._.Trend._.Analysis." hidden="1">{#N/A,#N/A,FALSE,"Aging Summary";#N/A,#N/A,FALSE,"Ratio Analysis";#N/A,#N/A,FALSE,"Test 120 Day Accts";#N/A,#N/A,FALSE,"Tickmarks"}</definedName>
    <definedName name="wrn.Benefit._.Summary." localSheetId="16" hidden="1">{"Benefit Summary",#N/A,FALSE,"REPORTS"}</definedName>
    <definedName name="wrn.Benefit._.Summary." localSheetId="14" hidden="1">{"Benefit Summary",#N/A,FALSE,"REPORTS"}</definedName>
    <definedName name="wrn.Benefit._.Summary." hidden="1">{"Benefit Summary",#N/A,FALSE,"REPORTS"}</definedName>
    <definedName name="wrn.benefit._.Summary.2" localSheetId="16" hidden="1">{"Benefit Summary",#N/A,FALSE,"REPORTS"}</definedName>
    <definedName name="wrn.benefit._.Summary.2" localSheetId="14" hidden="1">{"Benefit Summary",#N/A,FALSE,"REPORTS"}</definedName>
    <definedName name="wrn.benefit._.Summary.2" hidden="1">{"Benefit Summary",#N/A,FALSE,"REPORTS"}</definedName>
    <definedName name="wrn.Comparison._.of._.Package." localSheetId="16" hidden="1">{"Package Comparison",#N/A,FALSE,"REPORTS"}</definedName>
    <definedName name="wrn.Comparison._.of._.Package." localSheetId="14" hidden="1">{"Package Comparison",#N/A,FALSE,"REPORTS"}</definedName>
    <definedName name="wrn.Comparison._.of._.Package." hidden="1">{"Package Comparison",#N/A,FALSE,"REPORTS"}</definedName>
    <definedName name="wrn.Comparison._.of._.Package.2" localSheetId="16" hidden="1">{"Package Comparison",#N/A,FALSE,"REPORTS"}</definedName>
    <definedName name="wrn.Comparison._.of._.Package.2" localSheetId="14" hidden="1">{"Package Comparison",#N/A,FALSE,"REPORTS"}</definedName>
    <definedName name="wrn.Comparison._.of._.Package.2" hidden="1">{"Package Comparison",#N/A,FALSE,"REPORTS"}</definedName>
    <definedName name="year_1" localSheetId="16">DATE(YEAR(fsdate)+1,MONTH(fsdate),DAY(fsdate))</definedName>
    <definedName name="year_1" localSheetId="14">DATE(YEAR(fsdate)+1,MONTH(fsdate),DAY(fsdate))</definedName>
    <definedName name="year_1">DATE(YEAR(fsdate)+1,MONTH(fsdate),DAY(fsdate))</definedName>
    <definedName name="year_2" localSheetId="16">DATE(YEAR(fsdate)+2,MONTH(fsdate),DAY(fsdate))</definedName>
    <definedName name="year_2" localSheetId="14">DATE(YEAR(fsdate)+2,MONTH(fsdate),DAY(fsdate))</definedName>
    <definedName name="year_2">DATE(YEAR(fsdate)+2,MONTH(fsdate),DAY(fsdate))</definedName>
    <definedName name="year_3" localSheetId="16">DATE(YEAR(fsdate)+3,MONTH(fsdate),DAY(fsdate))</definedName>
    <definedName name="year_3" localSheetId="14">DATE(YEAR(fsdate)+3,MONTH(fsdate),DAY(fsdate))</definedName>
    <definedName name="year_3">DATE(YEAR(fsdate)+3,MONTH(fsdate),DAY(fsdate))</definedName>
    <definedName name="year_4" localSheetId="16">DATE(YEAR(fsdate)+4,MONTH(fsdate),DAY(fsdate))</definedName>
    <definedName name="year_4" localSheetId="14">DATE(YEAR(fsdate)+4,MONTH(fsdate),DAY(fsdate))</definedName>
    <definedName name="year_4">DATE(YEAR(fsdate)+4,MONTH(fsdate),DAY(fsdate))</definedName>
    <definedName name="year_5" localSheetId="16">DATE(YEAR(fsdate)+5,MONTH(fsdate),DAY(fsdate))</definedName>
    <definedName name="year_5" localSheetId="14">DATE(YEAR(fsdate)+5,MONTH(fsdate),DAY(fsdate))</definedName>
    <definedName name="year_5">DATE(YEAR(fsdate)+5,MONTH(fsdate),DAY(fsdate))</definedName>
    <definedName name="Yearend">'[1]10 rental'!$D$4</definedName>
    <definedName name="Yearstart">'[1]10 rental'!$B$4</definedName>
    <definedName name="YESNO" localSheetId="16">#REF!</definedName>
    <definedName name="YESNO" localSheetId="14">#REF!</definedName>
    <definedName name="YESNO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8" i="39" l="1"/>
  <c r="H57" i="39"/>
  <c r="H56" i="39"/>
  <c r="H55" i="39"/>
  <c r="H54" i="39"/>
  <c r="H53" i="39"/>
  <c r="H52" i="39"/>
  <c r="H51" i="39"/>
  <c r="H50" i="39"/>
  <c r="H49" i="39"/>
  <c r="H48" i="39"/>
  <c r="H47" i="39"/>
  <c r="H46" i="39"/>
  <c r="H45" i="39"/>
  <c r="H44" i="39"/>
  <c r="H58" i="21"/>
  <c r="H57" i="21"/>
  <c r="H56" i="21"/>
  <c r="H55" i="21"/>
  <c r="H54" i="21"/>
  <c r="H53" i="21"/>
  <c r="H52" i="21"/>
  <c r="H51" i="21"/>
  <c r="H50" i="21"/>
  <c r="H49" i="21"/>
  <c r="H47" i="21"/>
  <c r="H46" i="21"/>
  <c r="H45" i="21"/>
  <c r="H44" i="21"/>
  <c r="C85" i="35"/>
  <c r="H76" i="39"/>
  <c r="H76" i="21"/>
  <c r="H75" i="21"/>
  <c r="H75" i="39"/>
  <c r="H73" i="39"/>
  <c r="H72" i="39"/>
  <c r="H41" i="39"/>
  <c r="D28" i="41"/>
  <c r="D27" i="41"/>
  <c r="E33" i="36"/>
  <c r="B33" i="36"/>
  <c r="C42" i="35"/>
  <c r="C52" i="35"/>
  <c r="C68" i="35"/>
  <c r="C16" i="35"/>
  <c r="D6" i="35"/>
  <c r="H42" i="5"/>
  <c r="F42" i="5"/>
  <c r="F22" i="5"/>
  <c r="F28" i="5"/>
  <c r="H28" i="5" s="1"/>
  <c r="F24" i="5"/>
  <c r="F23" i="5"/>
  <c r="F19" i="5"/>
  <c r="F18" i="5"/>
  <c r="G18" i="5" s="1"/>
  <c r="H18" i="5" s="1"/>
  <c r="F29" i="5"/>
  <c r="H26" i="21"/>
  <c r="H26" i="39"/>
  <c r="C33" i="35"/>
  <c r="C20" i="35"/>
  <c r="E49" i="36"/>
  <c r="E48" i="36"/>
  <c r="E47" i="36"/>
  <c r="E46" i="36"/>
  <c r="E45" i="36"/>
  <c r="E44" i="36"/>
  <c r="E43" i="36"/>
  <c r="E42" i="36"/>
  <c r="E41" i="36"/>
  <c r="E40" i="36"/>
  <c r="E39" i="36"/>
  <c r="E38" i="36"/>
  <c r="E37" i="36"/>
  <c r="E36" i="36"/>
  <c r="E35" i="36"/>
  <c r="E34" i="36"/>
  <c r="E32" i="36"/>
  <c r="E31" i="36"/>
  <c r="E30" i="36"/>
  <c r="E28" i="36"/>
  <c r="E29" i="36"/>
  <c r="E27" i="36"/>
  <c r="E26" i="36"/>
  <c r="E25" i="36"/>
  <c r="E24" i="36"/>
  <c r="E23" i="36"/>
  <c r="E22" i="36"/>
  <c r="E21" i="36"/>
  <c r="E20" i="36"/>
  <c r="E19" i="36"/>
  <c r="E18" i="36"/>
  <c r="E17" i="36"/>
  <c r="E16" i="36"/>
  <c r="E15" i="36"/>
  <c r="E14" i="36"/>
  <c r="B35" i="36"/>
  <c r="B22" i="34"/>
  <c r="I22" i="34"/>
  <c r="D5" i="35"/>
  <c r="E1" i="29"/>
  <c r="A1" i="29"/>
  <c r="F27" i="29"/>
  <c r="F16" i="29"/>
  <c r="F10" i="29"/>
  <c r="E15" i="33"/>
  <c r="D49" i="40"/>
  <c r="C95" i="40"/>
  <c r="C95" i="26"/>
  <c r="L22" i="34"/>
  <c r="J22" i="34"/>
  <c r="K22" i="34"/>
  <c r="H22" i="34"/>
  <c r="D22" i="34"/>
  <c r="C22" i="34"/>
  <c r="E22" i="34"/>
  <c r="F22" i="34"/>
  <c r="G22" i="34"/>
  <c r="B3" i="20"/>
  <c r="B19" i="36"/>
  <c r="B20" i="36"/>
  <c r="B21" i="36"/>
  <c r="D92" i="40"/>
  <c r="D87" i="40"/>
  <c r="D84" i="40"/>
  <c r="D81" i="40"/>
  <c r="D78" i="40"/>
  <c r="D74" i="40"/>
  <c r="D69" i="40"/>
  <c r="D64" i="40"/>
  <c r="D59" i="40"/>
  <c r="D54" i="40"/>
  <c r="D38" i="40"/>
  <c r="D33" i="40"/>
  <c r="D28" i="40"/>
  <c r="D21" i="40"/>
  <c r="D21" i="26"/>
  <c r="E95" i="40" l="1"/>
  <c r="D29" i="41"/>
  <c r="D31" i="41" s="1"/>
  <c r="G22" i="5"/>
  <c r="H22" i="5" s="1"/>
  <c r="G23" i="5"/>
  <c r="H23" i="5" s="1"/>
  <c r="G24" i="5"/>
  <c r="H24" i="5" s="1"/>
  <c r="G19" i="5"/>
  <c r="H19" i="5" s="1"/>
  <c r="G29" i="5"/>
  <c r="H29" i="5" s="1"/>
  <c r="F17" i="29"/>
  <c r="F30" i="29" s="1"/>
  <c r="D74" i="26"/>
  <c r="D33" i="41" l="1"/>
  <c r="D34" i="41" s="1"/>
  <c r="J60" i="39"/>
  <c r="B4" i="40"/>
  <c r="B3" i="40"/>
  <c r="G18" i="39"/>
  <c r="H72" i="21"/>
  <c r="G18" i="21"/>
  <c r="H60" i="39" l="1"/>
  <c r="E53" i="36"/>
  <c r="B53" i="36"/>
  <c r="E51" i="36"/>
  <c r="B51" i="36"/>
  <c r="G50" i="36"/>
  <c r="F50" i="36"/>
  <c r="D50" i="36"/>
  <c r="C50" i="36"/>
  <c r="B49" i="36"/>
  <c r="B48" i="36"/>
  <c r="B47" i="36"/>
  <c r="B46" i="36"/>
  <c r="B45" i="36"/>
  <c r="B44" i="36"/>
  <c r="B43" i="36"/>
  <c r="B42" i="36"/>
  <c r="B41" i="36"/>
  <c r="B40" i="36"/>
  <c r="B39" i="36"/>
  <c r="B38" i="36"/>
  <c r="B37" i="36"/>
  <c r="B36" i="36"/>
  <c r="B34" i="36"/>
  <c r="B32" i="36"/>
  <c r="B31" i="36"/>
  <c r="B30" i="36"/>
  <c r="B28" i="36"/>
  <c r="B29" i="36"/>
  <c r="B27" i="36"/>
  <c r="B26" i="36"/>
  <c r="B25" i="36"/>
  <c r="B24" i="36"/>
  <c r="B23" i="36"/>
  <c r="B22" i="36"/>
  <c r="B18" i="36"/>
  <c r="B17" i="36"/>
  <c r="B16" i="36"/>
  <c r="B15" i="36"/>
  <c r="B14" i="36"/>
  <c r="E13" i="36"/>
  <c r="B13" i="36"/>
  <c r="G10" i="36"/>
  <c r="F10" i="36"/>
  <c r="D10" i="36"/>
  <c r="C10" i="36"/>
  <c r="E8" i="36"/>
  <c r="B8" i="36"/>
  <c r="E7" i="36"/>
  <c r="B7" i="36"/>
  <c r="B10" i="36" l="1"/>
  <c r="B50" i="36"/>
  <c r="B52" i="36" s="1"/>
  <c r="B54" i="36" s="1"/>
  <c r="E10" i="36"/>
  <c r="D52" i="36"/>
  <c r="D54" i="36" s="1"/>
  <c r="E50" i="36"/>
  <c r="C52" i="36"/>
  <c r="C54" i="36" s="1"/>
  <c r="C56" i="36" s="1"/>
  <c r="F52" i="36"/>
  <c r="F54" i="36" s="1"/>
  <c r="F56" i="36" s="1"/>
  <c r="G52" i="36"/>
  <c r="G54" i="36" s="1"/>
  <c r="B55" i="36" l="1"/>
  <c r="B56" i="36" s="1"/>
  <c r="E52" i="36"/>
  <c r="E54" i="36" s="1"/>
  <c r="B27" i="29"/>
  <c r="B16" i="29"/>
  <c r="B10" i="29"/>
  <c r="E55" i="36" l="1"/>
  <c r="E56" i="36" s="1"/>
  <c r="B17" i="29"/>
  <c r="B30" i="29" s="1"/>
  <c r="C72" i="35"/>
  <c r="C13" i="35"/>
  <c r="C74" i="35" l="1"/>
  <c r="C77" i="35" s="1"/>
  <c r="D7" i="35"/>
  <c r="C79" i="35" s="1"/>
  <c r="H26" i="34"/>
  <c r="G26" i="34"/>
  <c r="F26" i="34"/>
  <c r="E26" i="34"/>
  <c r="D26" i="34"/>
  <c r="C26" i="34"/>
  <c r="B26" i="34"/>
  <c r="C80" i="35" l="1"/>
  <c r="C83" i="35" s="1"/>
  <c r="F7" i="35"/>
  <c r="B1" i="34"/>
  <c r="A1" i="34"/>
  <c r="I19" i="34"/>
  <c r="M19" i="34" s="1"/>
  <c r="I18" i="34"/>
  <c r="M18" i="34" s="1"/>
  <c r="I17" i="34"/>
  <c r="M17" i="34" s="1"/>
  <c r="I16" i="34"/>
  <c r="M16" i="34" s="1"/>
  <c r="I15" i="34"/>
  <c r="M15" i="34" s="1"/>
  <c r="I14" i="34"/>
  <c r="M14" i="34" s="1"/>
  <c r="I13" i="34"/>
  <c r="M13" i="34" s="1"/>
  <c r="I12" i="34"/>
  <c r="M12" i="34" s="1"/>
  <c r="I11" i="34"/>
  <c r="M11" i="34" s="1"/>
  <c r="I10" i="34"/>
  <c r="M10" i="34" s="1"/>
  <c r="I9" i="34"/>
  <c r="M9" i="34" s="1"/>
  <c r="I8" i="34"/>
  <c r="I6" i="34"/>
  <c r="M6" i="34" s="1"/>
  <c r="M8" i="34" l="1"/>
  <c r="M22" i="34" s="1"/>
  <c r="I26" i="34"/>
  <c r="M26" i="34" s="1"/>
  <c r="M28" i="34" s="1"/>
  <c r="E17" i="33" l="1"/>
  <c r="F17" i="33" s="1"/>
  <c r="Q14" i="30" l="1"/>
  <c r="P14" i="30"/>
  <c r="O14" i="30"/>
  <c r="N14" i="30"/>
  <c r="M14" i="30"/>
  <c r="C23" i="30" s="1"/>
  <c r="L14" i="30"/>
  <c r="K14" i="30"/>
  <c r="C22" i="30" s="1"/>
  <c r="J14" i="30"/>
  <c r="I14" i="30"/>
  <c r="C21" i="30" s="1"/>
  <c r="H14" i="30"/>
  <c r="G14" i="30"/>
  <c r="F14" i="30"/>
  <c r="E14" i="30"/>
  <c r="D14" i="30"/>
  <c r="C14" i="30"/>
  <c r="C20" i="30" l="1"/>
  <c r="C19" i="30"/>
  <c r="C24" i="30" l="1"/>
  <c r="C26" i="30" s="1"/>
  <c r="C15" i="10" l="1"/>
  <c r="E20" i="9"/>
  <c r="E19" i="9"/>
  <c r="D22" i="9"/>
  <c r="C22" i="9"/>
  <c r="C17" i="9"/>
  <c r="C24" i="9" l="1"/>
  <c r="E22" i="9"/>
  <c r="B4" i="9" l="1"/>
  <c r="B4" i="24"/>
  <c r="B3" i="24"/>
  <c r="B4" i="22"/>
  <c r="C4" i="19"/>
  <c r="D92" i="26"/>
  <c r="D87" i="26"/>
  <c r="D84" i="26"/>
  <c r="D81" i="26"/>
  <c r="D78" i="26"/>
  <c r="D69" i="26"/>
  <c r="D64" i="26"/>
  <c r="D59" i="26"/>
  <c r="D54" i="26"/>
  <c r="D49" i="26"/>
  <c r="H48" i="21" s="1"/>
  <c r="D38" i="26"/>
  <c r="D33" i="26"/>
  <c r="D28" i="26"/>
  <c r="D10" i="24"/>
  <c r="H73" i="21"/>
  <c r="H60" i="21" l="1"/>
  <c r="E95" i="26"/>
  <c r="B35" i="17"/>
  <c r="C3" i="19" l="1"/>
  <c r="B3" i="26" l="1"/>
  <c r="J60" i="21"/>
  <c r="B3" i="15" l="1"/>
  <c r="B3" i="17"/>
  <c r="D19" i="24"/>
  <c r="E10" i="24"/>
  <c r="E19" i="24" s="1"/>
  <c r="H34" i="21" l="1"/>
  <c r="H33" i="39"/>
  <c r="B19" i="24"/>
  <c r="B18" i="22"/>
  <c r="B3" i="5"/>
  <c r="B4" i="26" l="1"/>
  <c r="B4" i="17"/>
  <c r="B4" i="15"/>
  <c r="B4" i="20"/>
  <c r="B3" i="9"/>
  <c r="B3" i="10"/>
  <c r="B4" i="10"/>
  <c r="B4" i="5"/>
  <c r="B3" i="22"/>
  <c r="K59" i="15" l="1"/>
  <c r="E61" i="15" s="1"/>
  <c r="L59" i="15"/>
  <c r="E64" i="15" s="1"/>
  <c r="J59" i="15"/>
  <c r="E60" i="15" s="1"/>
  <c r="E62" i="15" s="1"/>
  <c r="B21" i="17"/>
  <c r="B36" i="17" s="1"/>
  <c r="E66" i="15" l="1"/>
  <c r="E68" i="15" s="1"/>
  <c r="D60" i="15"/>
  <c r="E70" i="15" l="1"/>
  <c r="E72" i="15" s="1"/>
  <c r="C13" i="17"/>
  <c r="H30" i="21" l="1"/>
  <c r="H30" i="39"/>
  <c r="F14" i="15" l="1"/>
  <c r="H14" i="15"/>
  <c r="H15" i="15" s="1"/>
  <c r="H16" i="15" s="1"/>
  <c r="H17" i="15" s="1"/>
  <c r="H18" i="15" s="1"/>
  <c r="H19" i="15" s="1"/>
  <c r="H20" i="15" s="1"/>
  <c r="H21" i="15" s="1"/>
  <c r="I14" i="15"/>
  <c r="I15" i="15" s="1"/>
  <c r="I16" i="15" s="1"/>
  <c r="I17" i="15" s="1"/>
  <c r="I18" i="15" s="1"/>
  <c r="I19" i="15" s="1"/>
  <c r="I20" i="15" s="1"/>
  <c r="I21" i="15" s="1"/>
  <c r="F15" i="15"/>
  <c r="F16" i="15"/>
  <c r="F17" i="15"/>
  <c r="F18" i="15"/>
  <c r="F19" i="15"/>
  <c r="F20" i="15"/>
  <c r="F21" i="15"/>
  <c r="F29" i="15"/>
  <c r="H29" i="15"/>
  <c r="H30" i="15" s="1"/>
  <c r="H31" i="15" s="1"/>
  <c r="H32" i="15" s="1"/>
  <c r="H33" i="15" s="1"/>
  <c r="H34" i="15" s="1"/>
  <c r="H35" i="15" s="1"/>
  <c r="H36" i="15" s="1"/>
  <c r="I29" i="15"/>
  <c r="I30" i="15" s="1"/>
  <c r="I31" i="15" s="1"/>
  <c r="I32" i="15" s="1"/>
  <c r="I33" i="15" s="1"/>
  <c r="I34" i="15" s="1"/>
  <c r="I35" i="15" s="1"/>
  <c r="I36" i="15" s="1"/>
  <c r="F30" i="15"/>
  <c r="F31" i="15"/>
  <c r="F32" i="15"/>
  <c r="F33" i="15"/>
  <c r="F34" i="15"/>
  <c r="F35" i="15"/>
  <c r="F36" i="15"/>
  <c r="F44" i="15"/>
  <c r="H44" i="15"/>
  <c r="H45" i="15" s="1"/>
  <c r="H46" i="15" s="1"/>
  <c r="H47" i="15" s="1"/>
  <c r="H48" i="15" s="1"/>
  <c r="H49" i="15" s="1"/>
  <c r="H50" i="15" s="1"/>
  <c r="H51" i="15" s="1"/>
  <c r="I44" i="15"/>
  <c r="I45" i="15" s="1"/>
  <c r="I46" i="15" s="1"/>
  <c r="I47" i="15" s="1"/>
  <c r="I48" i="15" s="1"/>
  <c r="I49" i="15" s="1"/>
  <c r="I50" i="15" s="1"/>
  <c r="I51" i="15" s="1"/>
  <c r="F45" i="15"/>
  <c r="F46" i="15"/>
  <c r="F47" i="15"/>
  <c r="F48" i="15"/>
  <c r="F49" i="15"/>
  <c r="F50" i="15"/>
  <c r="F51" i="15"/>
  <c r="E13" i="10" l="1"/>
  <c r="E14" i="10"/>
  <c r="D15" i="10"/>
  <c r="E17" i="10"/>
  <c r="E18" i="10"/>
  <c r="E19" i="10"/>
  <c r="C20" i="10"/>
  <c r="D20" i="10"/>
  <c r="E22" i="10"/>
  <c r="E23" i="10"/>
  <c r="E24" i="10"/>
  <c r="C25" i="10"/>
  <c r="D25" i="10"/>
  <c r="E27" i="10"/>
  <c r="E28" i="10"/>
  <c r="E29" i="10"/>
  <c r="E30" i="10"/>
  <c r="C31" i="10"/>
  <c r="D31" i="10"/>
  <c r="E33" i="10"/>
  <c r="E34" i="10"/>
  <c r="E35" i="10"/>
  <c r="C36" i="10"/>
  <c r="D36" i="10"/>
  <c r="E38" i="10"/>
  <c r="E39" i="10"/>
  <c r="E40" i="10"/>
  <c r="C41" i="10"/>
  <c r="D41" i="10"/>
  <c r="E43" i="10"/>
  <c r="E44" i="10"/>
  <c r="E45" i="10"/>
  <c r="E46" i="10"/>
  <c r="C47" i="10"/>
  <c r="D47" i="10"/>
  <c r="E48" i="10"/>
  <c r="E14" i="9"/>
  <c r="E15" i="9"/>
  <c r="D17" i="9"/>
  <c r="C26" i="9"/>
  <c r="C51" i="10" s="1"/>
  <c r="D24" i="9"/>
  <c r="D26" i="9" s="1"/>
  <c r="D51" i="10" s="1"/>
  <c r="E25" i="10" l="1"/>
  <c r="E15" i="10"/>
  <c r="D50" i="10"/>
  <c r="D52" i="10" s="1"/>
  <c r="C50" i="10"/>
  <c r="C52" i="10" s="1"/>
  <c r="E36" i="10"/>
  <c r="E41" i="10"/>
  <c r="E31" i="10"/>
  <c r="E17" i="9"/>
  <c r="E24" i="9" s="1"/>
  <c r="E26" i="9" s="1"/>
  <c r="E51" i="10" s="1"/>
  <c r="E20" i="10"/>
  <c r="E47" i="10"/>
  <c r="H17" i="39" l="1"/>
  <c r="H17" i="21"/>
  <c r="E50" i="10"/>
  <c r="E52" i="10" s="1"/>
  <c r="G17" i="21" l="1"/>
  <c r="H80" i="21" s="1"/>
  <c r="G17" i="39"/>
  <c r="H80" i="39" l="1"/>
  <c r="F11" i="5"/>
  <c r="F12" i="5"/>
  <c r="G12" i="5" s="1"/>
  <c r="F13" i="5"/>
  <c r="H13" i="5" s="1"/>
  <c r="B14" i="5"/>
  <c r="C14" i="5"/>
  <c r="D14" i="5"/>
  <c r="E14" i="5"/>
  <c r="F17" i="5"/>
  <c r="G17" i="5" s="1"/>
  <c r="F20" i="5"/>
  <c r="H20" i="5" s="1"/>
  <c r="F25" i="5"/>
  <c r="H25" i="5" s="1"/>
  <c r="F26" i="5"/>
  <c r="F27" i="5"/>
  <c r="H27" i="5" s="1"/>
  <c r="F30" i="5"/>
  <c r="F31" i="5"/>
  <c r="F32" i="5"/>
  <c r="F21" i="5"/>
  <c r="F33" i="5"/>
  <c r="F34" i="5"/>
  <c r="F35" i="5"/>
  <c r="F37" i="5"/>
  <c r="F38" i="5"/>
  <c r="F39" i="5"/>
  <c r="H39" i="5" s="1"/>
  <c r="F40" i="5"/>
  <c r="H40" i="5" s="1"/>
  <c r="F36" i="5"/>
  <c r="F41" i="5"/>
  <c r="F43" i="5"/>
  <c r="B46" i="5"/>
  <c r="C46" i="5"/>
  <c r="D46" i="5"/>
  <c r="E46" i="5"/>
  <c r="G49" i="5"/>
  <c r="G50" i="5"/>
  <c r="A51" i="5"/>
  <c r="A52" i="5"/>
  <c r="G52" i="5"/>
  <c r="F53" i="5"/>
  <c r="H53" i="5" s="1"/>
  <c r="F54" i="5"/>
  <c r="H54" i="5" s="1"/>
  <c r="F55" i="5"/>
  <c r="H55" i="5" s="1"/>
  <c r="B58" i="5"/>
  <c r="C58" i="5"/>
  <c r="D58" i="5"/>
  <c r="E58" i="5"/>
  <c r="G43" i="5" l="1"/>
  <c r="H43" i="5"/>
  <c r="G36" i="5"/>
  <c r="H36" i="5"/>
  <c r="G33" i="5"/>
  <c r="H33" i="5" s="1"/>
  <c r="G31" i="5"/>
  <c r="H31" i="5" s="1"/>
  <c r="G26" i="5"/>
  <c r="H26" i="5"/>
  <c r="F51" i="5"/>
  <c r="F50" i="5"/>
  <c r="H32" i="5"/>
  <c r="H50" i="5" s="1"/>
  <c r="F52" i="5"/>
  <c r="H35" i="5"/>
  <c r="H52" i="5" s="1"/>
  <c r="F49" i="5"/>
  <c r="F58" i="5" s="1"/>
  <c r="H49" i="5"/>
  <c r="H41" i="21"/>
  <c r="H62" i="21" s="1"/>
  <c r="H62" i="39"/>
  <c r="G34" i="5"/>
  <c r="G51" i="5" s="1"/>
  <c r="G58" i="5" s="1"/>
  <c r="G37" i="5"/>
  <c r="H37" i="5" s="1"/>
  <c r="F14" i="5"/>
  <c r="G41" i="5"/>
  <c r="H41" i="5" s="1"/>
  <c r="G38" i="5"/>
  <c r="H38" i="5" s="1"/>
  <c r="G21" i="5"/>
  <c r="H21" i="5" s="1"/>
  <c r="G30" i="5"/>
  <c r="H30" i="5" s="1"/>
  <c r="G11" i="5"/>
  <c r="G14" i="5" s="1"/>
  <c r="H12" i="5"/>
  <c r="F46" i="5"/>
  <c r="H17" i="5"/>
  <c r="H34" i="5" l="1"/>
  <c r="H61" i="21"/>
  <c r="H65" i="21" a="1"/>
  <c r="H65" i="21" s="1"/>
  <c r="H61" i="39"/>
  <c r="H65" i="39" a="1"/>
  <c r="H65" i="39" s="1"/>
  <c r="H66" i="39"/>
  <c r="H66" i="21"/>
  <c r="H51" i="5"/>
  <c r="H58" i="5" s="1"/>
  <c r="G46" i="5"/>
  <c r="G60" i="5" s="1"/>
  <c r="H11" i="5"/>
  <c r="H14" i="5" s="1"/>
  <c r="H69" i="39" l="1"/>
  <c r="H82" i="39" s="1"/>
  <c r="H84" i="39" s="1"/>
  <c r="I84" i="39" s="1"/>
  <c r="H69" i="21"/>
  <c r="H82" i="21" s="1"/>
  <c r="H46" i="5"/>
  <c r="H60" i="5" s="1"/>
  <c r="H84" i="21" l="1"/>
  <c r="I84" i="2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<sst xmlns="http://schemas.openxmlformats.org/spreadsheetml/2006/main" count="944" uniqueCount="567">
  <si>
    <t>Client:</t>
  </si>
  <si>
    <t>Period / Year Ended:</t>
  </si>
  <si>
    <t>Workpaper:</t>
  </si>
  <si>
    <t>Particulars</t>
  </si>
  <si>
    <t>Fortis Accounting Partners</t>
  </si>
  <si>
    <t>Review Notes</t>
  </si>
  <si>
    <t>Queries</t>
  </si>
  <si>
    <t>Sr No</t>
  </si>
  <si>
    <t>Query/Issue</t>
  </si>
  <si>
    <t>Description</t>
  </si>
  <si>
    <t>Reference</t>
  </si>
  <si>
    <t>Client's Reply</t>
  </si>
  <si>
    <t>Reply</t>
  </si>
  <si>
    <t>Source Documents</t>
  </si>
  <si>
    <t>Summary Sheet - Taxable Income</t>
  </si>
  <si>
    <t>PY</t>
  </si>
  <si>
    <t>ITEM</t>
  </si>
  <si>
    <t>DESCRIPTION</t>
  </si>
  <si>
    <t>Tax Credits</t>
  </si>
  <si>
    <t>$</t>
  </si>
  <si>
    <t>Hyperlink</t>
  </si>
  <si>
    <t>PREPARER'S REMARKS</t>
  </si>
  <si>
    <t>REVIEWER'S SIGNOFF</t>
  </si>
  <si>
    <t>INCOME</t>
  </si>
  <si>
    <t>Salary</t>
  </si>
  <si>
    <t>Allowance</t>
  </si>
  <si>
    <t>Interest</t>
  </si>
  <si>
    <t>Dividend Income</t>
  </si>
  <si>
    <t>Partnerships/Trust Distributions</t>
  </si>
  <si>
    <t>Foreign Income</t>
  </si>
  <si>
    <t>Rental Income</t>
  </si>
  <si>
    <t>Other Income</t>
  </si>
  <si>
    <t>Rounding</t>
  </si>
  <si>
    <t>TOTAL INCOME</t>
  </si>
  <si>
    <t>DEDUCTIONS</t>
  </si>
  <si>
    <t>D1</t>
  </si>
  <si>
    <t>Work related car expenses</t>
  </si>
  <si>
    <t>D2</t>
  </si>
  <si>
    <t>Work related travel expenses</t>
  </si>
  <si>
    <t>D3</t>
  </si>
  <si>
    <t>Work related uniform, occupation specific or protective clothing, laundry and dry cleaning expenses</t>
  </si>
  <si>
    <t>D4</t>
  </si>
  <si>
    <t>Work-Related Self Education Expenses</t>
  </si>
  <si>
    <t>D5</t>
  </si>
  <si>
    <t>Other work related expenses</t>
  </si>
  <si>
    <t>D6</t>
  </si>
  <si>
    <t>Low value pool deduction</t>
  </si>
  <si>
    <t>D7</t>
  </si>
  <si>
    <t>Interest deductions</t>
  </si>
  <si>
    <t>D8</t>
  </si>
  <si>
    <t>Dividend deductions</t>
  </si>
  <si>
    <t>D9</t>
  </si>
  <si>
    <t>Donations</t>
  </si>
  <si>
    <t>D10</t>
  </si>
  <si>
    <t>Cost of managing tax affairs</t>
  </si>
  <si>
    <t>D11</t>
  </si>
  <si>
    <t>Deductible FP or Annuity</t>
  </si>
  <si>
    <t>D12</t>
  </si>
  <si>
    <t>Personal Super</t>
  </si>
  <si>
    <t>D13</t>
  </si>
  <si>
    <t>Project Pool</t>
  </si>
  <si>
    <t>D14</t>
  </si>
  <si>
    <t>Forestry</t>
  </si>
  <si>
    <t>D15</t>
  </si>
  <si>
    <t>Other deductions</t>
  </si>
  <si>
    <t>TOTAL DEDUCTIONS</t>
  </si>
  <si>
    <t>TAXABLE INCOME</t>
  </si>
  <si>
    <t>Tax Payable</t>
  </si>
  <si>
    <t>Medicare Levy</t>
  </si>
  <si>
    <t>Medicare Levy Surcharge</t>
  </si>
  <si>
    <t>Excess PHI</t>
  </si>
  <si>
    <t>Total Tax Payable</t>
  </si>
  <si>
    <t>PAYG Withholding</t>
  </si>
  <si>
    <t>Withholding Tax</t>
  </si>
  <si>
    <t>PAYG Instalments</t>
  </si>
  <si>
    <t>Franking Credits</t>
  </si>
  <si>
    <t>Foreign Tax Credits</t>
  </si>
  <si>
    <t>Low Income Tax Offset</t>
  </si>
  <si>
    <t>Low and Middle Income Tax Offset</t>
  </si>
  <si>
    <t>PHI Rebate</t>
  </si>
  <si>
    <t>Total Tax Credits</t>
  </si>
  <si>
    <t>Tax Payable / (Refund)</t>
  </si>
  <si>
    <t>per ITR</t>
  </si>
  <si>
    <t>Variance</t>
  </si>
  <si>
    <t>Other Disclosure Items</t>
  </si>
  <si>
    <t>Reportable Super Contributions</t>
  </si>
  <si>
    <t>Reportable Fringe Benefits</t>
  </si>
  <si>
    <t>M2</t>
  </si>
  <si>
    <t>Private Health Insurance</t>
  </si>
  <si>
    <t>PHI</t>
  </si>
  <si>
    <t>Premium</t>
  </si>
  <si>
    <t>Rebate</t>
  </si>
  <si>
    <t>M1</t>
  </si>
  <si>
    <t>Number of dependent children and students</t>
  </si>
  <si>
    <t>IT8</t>
  </si>
  <si>
    <t>Number of dependent children</t>
  </si>
  <si>
    <t>Number of days not liable for surcharge</t>
  </si>
  <si>
    <t>Select</t>
  </si>
  <si>
    <t>Bank Details Added?</t>
  </si>
  <si>
    <t>Deductions incl work-related</t>
  </si>
  <si>
    <t>Items</t>
  </si>
  <si>
    <t>Total</t>
  </si>
  <si>
    <t>D1 - Work-Related Car Expenses</t>
  </si>
  <si>
    <t>Fuel</t>
  </si>
  <si>
    <t>Insurance</t>
  </si>
  <si>
    <t>Registration</t>
  </si>
  <si>
    <t>Repair &amp; Maintanance</t>
  </si>
  <si>
    <t>Depreciation</t>
  </si>
  <si>
    <t>Other</t>
  </si>
  <si>
    <t>Total Word-Related Car Expenses</t>
  </si>
  <si>
    <t>D2 - Travel Expenses</t>
  </si>
  <si>
    <t>Total Travel Expenses</t>
  </si>
  <si>
    <t>D3 - Uniform Expenses</t>
  </si>
  <si>
    <t>Total Uniform Expenses</t>
  </si>
  <si>
    <t>D4 - Self Education Expenses</t>
  </si>
  <si>
    <t>Total Self Education Expenses</t>
  </si>
  <si>
    <t>D5 - Other Work-Related Expenses</t>
  </si>
  <si>
    <t>Internet</t>
  </si>
  <si>
    <t>Total Other Work Related Expenses</t>
  </si>
  <si>
    <t>D6 - Low Value Pool</t>
  </si>
  <si>
    <t>Total LV Pool Expenses</t>
  </si>
  <si>
    <t>D7 - Interest Deductions</t>
  </si>
  <si>
    <t>Total Interest Deductions</t>
  </si>
  <si>
    <t>D8 - Dividend Deductions</t>
  </si>
  <si>
    <t>Total Dividend Deductions</t>
  </si>
  <si>
    <t>D9 - Donations</t>
  </si>
  <si>
    <t>Total Donations</t>
  </si>
  <si>
    <t>D10 - Tax Affairs</t>
  </si>
  <si>
    <t>Total Tax Affair Expenses</t>
  </si>
  <si>
    <t>D11 - Deductible FP or Annuity</t>
  </si>
  <si>
    <t>Total Deductible FP or Annuity</t>
  </si>
  <si>
    <t>D12 - Personal Super</t>
  </si>
  <si>
    <t>Total Personal Super Deduction</t>
  </si>
  <si>
    <t>D13 - Project Pool</t>
  </si>
  <si>
    <t>Total Project Pool Deduction</t>
  </si>
  <si>
    <t>D14 - Forestry</t>
  </si>
  <si>
    <t>Total Forestry Deduction</t>
  </si>
  <si>
    <t>D15 - Other deductions incl Insurance</t>
  </si>
  <si>
    <t>Total Other deductions Incl Insurance</t>
  </si>
  <si>
    <t>Total Deductions</t>
  </si>
  <si>
    <t>Cross check</t>
  </si>
  <si>
    <t>Amount</t>
  </si>
  <si>
    <t>Distribution Income</t>
  </si>
  <si>
    <t>Label</t>
  </si>
  <si>
    <t>10L</t>
  </si>
  <si>
    <t>10M</t>
  </si>
  <si>
    <t>13U</t>
  </si>
  <si>
    <t>13C</t>
  </si>
  <si>
    <t>13Q</t>
  </si>
  <si>
    <t>13R</t>
  </si>
  <si>
    <t>18H</t>
  </si>
  <si>
    <t>18A</t>
  </si>
  <si>
    <t>19K</t>
  </si>
  <si>
    <t>20E</t>
  </si>
  <si>
    <t>20M</t>
  </si>
  <si>
    <t>20F</t>
  </si>
  <si>
    <t>20O</t>
  </si>
  <si>
    <t>24V</t>
  </si>
  <si>
    <t>AMIT cost base net amount - excess</t>
  </si>
  <si>
    <t>S.N.</t>
  </si>
  <si>
    <t>Interest income</t>
  </si>
  <si>
    <t>TFN amounts withheld (Interest)</t>
  </si>
  <si>
    <t>Non-primary production income</t>
  </si>
  <si>
    <t>Franked distributions from trusts</t>
  </si>
  <si>
    <t>Share of franking credits - franked dividends</t>
  </si>
  <si>
    <t>TFN amounts withheld</t>
  </si>
  <si>
    <r>
      <rPr>
        <b/>
        <sz val="8"/>
        <rFont val="Verdana"/>
        <family val="2"/>
      </rPr>
      <t>(Trust Distribution)
Total current year capital gains</t>
    </r>
  </si>
  <si>
    <t>Net capital gain</t>
  </si>
  <si>
    <t>Controlled Foreign Company (CFC) income</t>
  </si>
  <si>
    <t>Assessable foreign source income</t>
  </si>
  <si>
    <t>Other net foreign source income</t>
  </si>
  <si>
    <t>Australian franking credits from a New Zealand franking company</t>
  </si>
  <si>
    <t>Foreign Income Tax Offset</t>
  </si>
  <si>
    <t>Rebates</t>
  </si>
  <si>
    <t>Summary</t>
  </si>
  <si>
    <t>Label 10</t>
  </si>
  <si>
    <t>Label 13</t>
  </si>
  <si>
    <t>Label 18</t>
  </si>
  <si>
    <t>Label 19</t>
  </si>
  <si>
    <t>Label 20</t>
  </si>
  <si>
    <t>Check</t>
  </si>
  <si>
    <t>Source:</t>
  </si>
  <si>
    <t>CGT Days</t>
  </si>
  <si>
    <t>Total Ownership Period</t>
  </si>
  <si>
    <t>CGT Event %</t>
  </si>
  <si>
    <t>CGT Calculations:</t>
  </si>
  <si>
    <t>Sale Price:</t>
  </si>
  <si>
    <t>Total Disposal Value:</t>
  </si>
  <si>
    <t>Cost Base:</t>
  </si>
  <si>
    <t>Purchases:</t>
  </si>
  <si>
    <t>Sales:</t>
  </si>
  <si>
    <t>Total Value of Cost Base:</t>
  </si>
  <si>
    <t>Ownership %</t>
  </si>
  <si>
    <t>1st Day Available for Rent:</t>
  </si>
  <si>
    <t>Available Weeks:</t>
  </si>
  <si>
    <t xml:space="preserve">Property Address: </t>
  </si>
  <si>
    <t>Owner's Exp/Adj</t>
  </si>
  <si>
    <t xml:space="preserve"> Ref/Remark</t>
  </si>
  <si>
    <t>Income</t>
  </si>
  <si>
    <t>Total Income</t>
  </si>
  <si>
    <t>Less:</t>
  </si>
  <si>
    <t>Expenses</t>
  </si>
  <si>
    <t>Advertising</t>
  </si>
  <si>
    <t>Borrowing Costs</t>
  </si>
  <si>
    <t>Cleaning</t>
  </si>
  <si>
    <t>Council Rates</t>
  </si>
  <si>
    <t>Capital Allowances/Depreciation on Plant - Per XPM</t>
  </si>
  <si>
    <t>Gardening/Lawn Mowing</t>
  </si>
  <si>
    <t>Land Tax</t>
  </si>
  <si>
    <t>Legal Fees (Debt Collection)</t>
  </si>
  <si>
    <t>Pest Control</t>
  </si>
  <si>
    <t>Property Agent Commission/Management Fees</t>
  </si>
  <si>
    <t>Repairs &amp; Maintenance - Electrical</t>
  </si>
  <si>
    <t>Repairs &amp; Maintenance - General</t>
  </si>
  <si>
    <t>Repairs &amp; Maintenance - Locksmith</t>
  </si>
  <si>
    <t>Repairs &amp; Maintenance - Plumbing</t>
  </si>
  <si>
    <t>Repairs &amp; Maintenance - Bathroom</t>
  </si>
  <si>
    <t>Stationery, Tel &amp; Postages</t>
  </si>
  <si>
    <t>Water Charges</t>
  </si>
  <si>
    <t>Sundries</t>
  </si>
  <si>
    <t xml:space="preserve"> - Pest Inspection Fees</t>
  </si>
  <si>
    <t xml:space="preserve"> - Letting Fees</t>
  </si>
  <si>
    <t xml:space="preserve"> - GST on Fees</t>
  </si>
  <si>
    <t xml:space="preserve"> - Admin Fees</t>
  </si>
  <si>
    <t xml:space="preserve"> - EOFY Report</t>
  </si>
  <si>
    <t>Total Expenses</t>
  </si>
  <si>
    <t xml:space="preserve"> (+)/(-) Adjustment</t>
  </si>
  <si>
    <t>Net Rent per Tax Return</t>
  </si>
  <si>
    <t>Low value pool (Label D6)</t>
  </si>
  <si>
    <t>Net Rent after Low Value Pool</t>
  </si>
  <si>
    <t>Per Statement</t>
  </si>
  <si>
    <t>Control</t>
  </si>
  <si>
    <t>Home Office Expenses</t>
  </si>
  <si>
    <t>Fixed Rate Method</t>
  </si>
  <si>
    <t>ATO Rate</t>
  </si>
  <si>
    <t>Other Expenses</t>
  </si>
  <si>
    <t>Office Furniture, if not an Asset</t>
  </si>
  <si>
    <t>Repairs of Office Furniture</t>
  </si>
  <si>
    <t>Gross Total</t>
  </si>
  <si>
    <t>Maximum of the above</t>
  </si>
  <si>
    <t>Dividend Summary - INDIVIDUAL</t>
  </si>
  <si>
    <t>NO of SHARES</t>
  </si>
  <si>
    <t>UNFRANKED</t>
  </si>
  <si>
    <t>FRANKED</t>
  </si>
  <si>
    <t>IMPUTED CREDIT</t>
  </si>
  <si>
    <t>DATE PAID</t>
  </si>
  <si>
    <t>Individual Shares</t>
  </si>
  <si>
    <t>&lt;COMPANY NAME&gt;</t>
  </si>
  <si>
    <t>Total Individual Dividends</t>
  </si>
  <si>
    <t>Joint</t>
  </si>
  <si>
    <t>Checked to Div slips except # are CGT Report</t>
  </si>
  <si>
    <t>Income Type</t>
  </si>
  <si>
    <t>Total income</t>
  </si>
  <si>
    <t>Note:</t>
  </si>
  <si>
    <t>Share Register</t>
  </si>
  <si>
    <t>Date of</t>
  </si>
  <si>
    <t>No. of</t>
  </si>
  <si>
    <t>Cost</t>
  </si>
  <si>
    <t>Sale</t>
  </si>
  <si>
    <t>Profit/Loss</t>
  </si>
  <si>
    <t>Balance</t>
  </si>
  <si>
    <t xml:space="preserve">Gain-Shares </t>
  </si>
  <si>
    <t xml:space="preserve">Gain- Shares </t>
  </si>
  <si>
    <t>Losses from</t>
  </si>
  <si>
    <t>Notes re buy back etc</t>
  </si>
  <si>
    <t>Pur/Sale</t>
  </si>
  <si>
    <t>Shares</t>
  </si>
  <si>
    <t>Proceeds</t>
  </si>
  <si>
    <t>held&gt;12 mths</t>
  </si>
  <si>
    <t>held&lt;12mths</t>
  </si>
  <si>
    <t>Capital Gains Summary</t>
  </si>
  <si>
    <t>Gross Discountable Gains</t>
  </si>
  <si>
    <t>Gross Non Discountable Gains</t>
  </si>
  <si>
    <t>Total Gross Capital Gains per Tax Return</t>
  </si>
  <si>
    <t>(label 18H)</t>
  </si>
  <si>
    <t>Total Current Year Losses</t>
  </si>
  <si>
    <t>Prior Year Losses brought forward</t>
  </si>
  <si>
    <t>Gross Capital Gains after offsetting capital losses</t>
  </si>
  <si>
    <t>Less: Applicable 50% Discount</t>
  </si>
  <si>
    <t>Net Taxable Capital Gain</t>
  </si>
  <si>
    <t>(label 18A)</t>
  </si>
  <si>
    <t>Account Name</t>
  </si>
  <si>
    <t>Account No/Code</t>
  </si>
  <si>
    <t>Other Reconciliations</t>
  </si>
  <si>
    <t>Add/Less :</t>
  </si>
  <si>
    <t>Adjustment</t>
  </si>
  <si>
    <t>Adjustment  1</t>
  </si>
  <si>
    <t>Adjustment  2</t>
  </si>
  <si>
    <t>Adjustment  3</t>
  </si>
  <si>
    <t>Adjustments</t>
  </si>
  <si>
    <t>Dividend Summary - JOINT</t>
  </si>
  <si>
    <t>Joint Held Shares</t>
  </si>
  <si>
    <t>Total Joint Dividends</t>
  </si>
  <si>
    <t>50% SHARE</t>
  </si>
  <si>
    <t>Cash Basis</t>
  </si>
  <si>
    <t>GROSS</t>
  </si>
  <si>
    <t>GST-FREE</t>
  </si>
  <si>
    <t xml:space="preserve"> GST </t>
  </si>
  <si>
    <t>CAPITAL</t>
  </si>
  <si>
    <t xml:space="preserve"> NON-CAPITAL </t>
  </si>
  <si>
    <t>NET</t>
  </si>
  <si>
    <t xml:space="preserve"> PAYG </t>
  </si>
  <si>
    <t xml:space="preserve"> TOTAL  </t>
  </si>
  <si>
    <t>SALES</t>
  </si>
  <si>
    <t xml:space="preserve"> COLLECTED </t>
  </si>
  <si>
    <t>PURCHASES</t>
  </si>
  <si>
    <t xml:space="preserve"> PURCHASES </t>
  </si>
  <si>
    <t xml:space="preserve"> PAID </t>
  </si>
  <si>
    <t>GST</t>
  </si>
  <si>
    <t xml:space="preserve"> INSTALLMENTS </t>
  </si>
  <si>
    <t>WAGES</t>
  </si>
  <si>
    <t>WITHHOLDING</t>
  </si>
  <si>
    <t>PAID</t>
  </si>
  <si>
    <t>Actual - As per Xero</t>
  </si>
  <si>
    <t>Client Data</t>
  </si>
  <si>
    <t>Src</t>
  </si>
  <si>
    <t>Client Data Excel</t>
  </si>
  <si>
    <t>Client Data PDF</t>
  </si>
  <si>
    <t>Job Notes</t>
  </si>
  <si>
    <t>Deductions</t>
  </si>
  <si>
    <t>Income &amp; Expenses Summary</t>
  </si>
  <si>
    <t>MV Expenses</t>
  </si>
  <si>
    <t>Business Summary (GST Inclusive)</t>
  </si>
  <si>
    <t>Refunds (No GST)</t>
  </si>
  <si>
    <t>Bank Charges</t>
  </si>
  <si>
    <t>Drawings</t>
  </si>
  <si>
    <t>Loan Payments</t>
  </si>
  <si>
    <t>MV - Expenses (GST)</t>
  </si>
  <si>
    <t>MV - Expenses (No GST)</t>
  </si>
  <si>
    <t>Printing &amp; Stationary</t>
  </si>
  <si>
    <t>Sundry Expenses(GST)</t>
  </si>
  <si>
    <t>Sundry Expenses(No GST)</t>
  </si>
  <si>
    <t>Workshop Equiptment</t>
  </si>
  <si>
    <t xml:space="preserve">Drawings </t>
  </si>
  <si>
    <t>Sundry Expense (No GST)</t>
  </si>
  <si>
    <t>Immediate 100% w/off</t>
  </si>
  <si>
    <t>Total Adjustments</t>
  </si>
  <si>
    <t>Business Profit / - Loss</t>
  </si>
  <si>
    <t>Foreign income details</t>
  </si>
  <si>
    <t>Foreign Currency</t>
  </si>
  <si>
    <t>Exchange Rate</t>
  </si>
  <si>
    <t>AUD</t>
  </si>
  <si>
    <t>Total Foreign income</t>
  </si>
  <si>
    <t>Foreign Tax Credit</t>
  </si>
  <si>
    <t>Motor Vehicle Expenses</t>
  </si>
  <si>
    <t>Vehicle Description:</t>
  </si>
  <si>
    <t>CTP Insurance</t>
  </si>
  <si>
    <t>Comprehensive Insurance</t>
  </si>
  <si>
    <t>Interest or Leasing</t>
  </si>
  <si>
    <t>Repairs and Maintenance</t>
  </si>
  <si>
    <t>Deductible Balancing Adjustment</t>
  </si>
  <si>
    <t>Total MV Expenses</t>
  </si>
  <si>
    <t>Logbook%</t>
  </si>
  <si>
    <t>Engine Capacity</t>
  </si>
  <si>
    <t>Vehicle Purchase Price (or vehicle DCL)</t>
  </si>
  <si>
    <t>Number of days employed during the year</t>
  </si>
  <si>
    <t>Do business kilometres exceed 5,000km ?</t>
  </si>
  <si>
    <t>if not, how many business kilometres were travelled?</t>
  </si>
  <si>
    <t>Deduction Methods</t>
  </si>
  <si>
    <t>Cents per km</t>
  </si>
  <si>
    <t>Logbook Method</t>
  </si>
  <si>
    <t>Tax Optimal Method and Claim</t>
  </si>
  <si>
    <t>Work Usage %</t>
  </si>
  <si>
    <t>Fuel &amp; Petrol</t>
  </si>
  <si>
    <t>Printing &amp; Stationery</t>
  </si>
  <si>
    <t>Professional Subscriptions</t>
  </si>
  <si>
    <t>Internet Expenses</t>
  </si>
  <si>
    <t>Phone &amp; Mobile Expenses</t>
  </si>
  <si>
    <t>Work Tools &amp; Supplies</t>
  </si>
  <si>
    <t>Litigation Costs</t>
  </si>
  <si>
    <t>Tax Agent Fees</t>
  </si>
  <si>
    <t>Income Protection Insurance</t>
  </si>
  <si>
    <t>Personal Concessional Contributions</t>
  </si>
  <si>
    <t>Public Transport</t>
  </si>
  <si>
    <t>Work-related Travel - Flights &amp; Public Transport</t>
  </si>
  <si>
    <t xml:space="preserve">Work-related Travel - Accommodation </t>
  </si>
  <si>
    <t>Work-related Travel - Meals</t>
  </si>
  <si>
    <t>Actual Cost Method</t>
  </si>
  <si>
    <t>Decline in Value of Depreciating Assets</t>
  </si>
  <si>
    <t>Sundry Expenses</t>
  </si>
  <si>
    <t>Number of Hours per Week</t>
  </si>
  <si>
    <t>Number of Weeks per Year (Full Year 48 Weeks)</t>
  </si>
  <si>
    <t>Cleaning Expenses</t>
  </si>
  <si>
    <t>Heating, Cooling and Lighting</t>
  </si>
  <si>
    <t>Home Phone &amp; Internet Expenses</t>
  </si>
  <si>
    <t>Mobile Phone Expenses</t>
  </si>
  <si>
    <t xml:space="preserve">Computer Consumables and Stationery </t>
  </si>
  <si>
    <t>Opening balance</t>
  </si>
  <si>
    <t>Closing Balance</t>
  </si>
  <si>
    <t>FY2025 BAS Summary</t>
  </si>
  <si>
    <r>
      <rPr>
        <u/>
        <sz val="10"/>
        <color theme="1"/>
        <rFont val="Arial"/>
        <family val="2"/>
      </rPr>
      <t>Less</t>
    </r>
    <r>
      <rPr>
        <sz val="10"/>
        <color theme="1"/>
        <rFont val="Arial"/>
        <family val="2"/>
      </rPr>
      <t>:</t>
    </r>
  </si>
  <si>
    <r>
      <rPr>
        <u/>
        <sz val="12"/>
        <color theme="1"/>
        <rFont val="Arial"/>
        <family val="2"/>
      </rPr>
      <t>Less</t>
    </r>
    <r>
      <rPr>
        <sz val="12"/>
        <color theme="1"/>
        <rFont val="Arial"/>
        <family val="2"/>
      </rPr>
      <t>:</t>
    </r>
  </si>
  <si>
    <t>Capital Works Deduction/Special Building w/off Allowance - XPM</t>
  </si>
  <si>
    <t xml:space="preserve"> - Bank Charges</t>
  </si>
  <si>
    <t>Body Corporate Fees (Strata Levies)</t>
  </si>
  <si>
    <t xml:space="preserve"> - Sundry Fees</t>
  </si>
  <si>
    <t xml:space="preserve"> - Legal / Conveyancing Fees</t>
  </si>
  <si>
    <t xml:space="preserve"> - Council Rates</t>
  </si>
  <si>
    <t xml:space="preserve"> - Water Rates</t>
  </si>
  <si>
    <t xml:space="preserve"> - DA Subdivision Fees</t>
  </si>
  <si>
    <t xml:space="preserve"> - DA Draft Fees</t>
  </si>
  <si>
    <t xml:space="preserve"> - Land Tax</t>
  </si>
  <si>
    <t xml:space="preserve"> - Strata Levies</t>
  </si>
  <si>
    <t xml:space="preserve"> - Agent Commissions</t>
  </si>
  <si>
    <t xml:space="preserve"> - Marketing/Advertising Expenses</t>
  </si>
  <si>
    <t xml:space="preserve"> - Discharge of Mortgage</t>
  </si>
  <si>
    <t xml:space="preserve"> - Registration Fees</t>
  </si>
  <si>
    <t xml:space="preserve"> - Stamp Duty</t>
  </si>
  <si>
    <t xml:space="preserve"> - Electronic Settlement Fees</t>
  </si>
  <si>
    <t xml:space="preserve"> - Bank / Cheque Fees</t>
  </si>
  <si>
    <t xml:space="preserve"> - Registration of Mortgage</t>
  </si>
  <si>
    <t xml:space="preserve"> - Building Inspection Fees</t>
  </si>
  <si>
    <t xml:space="preserve"> - Other Sale Settlement Fees</t>
  </si>
  <si>
    <t xml:space="preserve"> - Other Purchase Settlement Fees</t>
  </si>
  <si>
    <t>Business Schedule (Income &amp; Expenses)</t>
  </si>
  <si>
    <t>Non-Commercial Losses</t>
  </si>
  <si>
    <t xml:space="preserve">Net </t>
  </si>
  <si>
    <t>Gross</t>
  </si>
  <si>
    <t>Sep</t>
  </si>
  <si>
    <t>Dec</t>
  </si>
  <si>
    <t>Mar</t>
  </si>
  <si>
    <t>Jun</t>
  </si>
  <si>
    <t>Sales (GST)</t>
  </si>
  <si>
    <t>Sales (No GST)</t>
  </si>
  <si>
    <t>Insurance - Business</t>
  </si>
  <si>
    <t>Insurance - Public Liability</t>
  </si>
  <si>
    <t>Freight &amp; Couriers</t>
  </si>
  <si>
    <t>Client Meetings</t>
  </si>
  <si>
    <t>Client Gifts</t>
  </si>
  <si>
    <t>Accounting Fees</t>
  </si>
  <si>
    <t>Amortisation - Borrowing Costs</t>
  </si>
  <si>
    <t>Depreciation Expenses</t>
  </si>
  <si>
    <t>COGS - Materials</t>
  </si>
  <si>
    <t>COGS - Labours</t>
  </si>
  <si>
    <t>Superannuation</t>
  </si>
  <si>
    <t>Mobile &amp; Telephone Expenses</t>
  </si>
  <si>
    <t>Office Supplies</t>
  </si>
  <si>
    <t>Wages &amp; Salaries</t>
  </si>
  <si>
    <t>Work Tools</t>
  </si>
  <si>
    <t>FY 2025</t>
  </si>
  <si>
    <t>Interest on Loan 1 - XXX Loan Acct***</t>
  </si>
  <si>
    <t>Interest on Loan 2 - XXX Loan Acct***</t>
  </si>
  <si>
    <t xml:space="preserve"> - Annual Package Fees</t>
  </si>
  <si>
    <t>XXX (50%)</t>
  </si>
  <si>
    <t>Y / N</t>
  </si>
  <si>
    <t>Property Owner:</t>
  </si>
  <si>
    <t>Purchase Date (Contract Date):</t>
  </si>
  <si>
    <t>Date First Available for Rent:</t>
  </si>
  <si>
    <t>Sale Date (Contract Date):</t>
  </si>
  <si>
    <t>Held &gt; 12 Months?</t>
  </si>
  <si>
    <t>Purchase Settlement Date:</t>
  </si>
  <si>
    <t>Sale Settlement Date:</t>
  </si>
  <si>
    <t>Purchase Price at Purchase / Market Value at First Date Available for Rent:</t>
  </si>
  <si>
    <t>https://www.ato.gov.au/individuals-and-families/investments-and-assets/capital-gains-tax/calculating-your-cgt/cost-base-of-asset</t>
  </si>
  <si>
    <t xml:space="preserve"> - Repairs &amp; Maintenance</t>
  </si>
  <si>
    <t xml:space="preserve"> - Any Non-deductible Interest on Loans Used to Finance (1) Acquisition of CGT Asset or (2) Capital Exp. to Increase an Asset's Value</t>
  </si>
  <si>
    <t>&lt;1&gt;</t>
  </si>
  <si>
    <t>&lt;2&gt;</t>
  </si>
  <si>
    <t>Third element: Costs of owning the CGT asset (not claimed previously in the rental schedule &amp; cannot create capital losses)</t>
  </si>
  <si>
    <t>First element: Money paid or property given for the CGT asset</t>
  </si>
  <si>
    <t>Second element: Incidental costs of acquiring the CGT asset or that relate to the CGT event</t>
  </si>
  <si>
    <t>Fourth element: Capital costs to increase or preserve the value of your asset or to install or move it</t>
  </si>
  <si>
    <t xml:space="preserve"> - Plant &amp; Equipment Included in Tax Depreciation Report</t>
  </si>
  <si>
    <t xml:space="preserve"> - Capital Works Included in Tax Depreciation Report</t>
  </si>
  <si>
    <t>Fifth element: Capital costs of preserving or defending your title or rights to your CGT asset</t>
  </si>
  <si>
    <t xml:space="preserve"> - Capital Expenditure to Preserve the Ownership/Rights of the Asset</t>
  </si>
  <si>
    <t xml:space="preserve"> - Capital Expenditure to Defend the Ownership/Rights of the Asset</t>
  </si>
  <si>
    <t>Net Capital Gains (+) / Losses (-)</t>
  </si>
  <si>
    <t>50% CGT Discount</t>
  </si>
  <si>
    <t xml:space="preserve"> - Buyers' Agent Commission</t>
  </si>
  <si>
    <t xml:space="preserve"> - Zoning Charges</t>
  </si>
  <si>
    <t xml:space="preserve"> - Costs Incurred to Install or Move an Asset</t>
  </si>
  <si>
    <t xml:space="preserve"> - Additional Plant &amp; Equipment Purchased at Cost (Excluded from Tax Depreciation Report)</t>
  </si>
  <si>
    <t xml:space="preserve"> - Additional Renovation Costs at Cost (Excluded from Tax Depreciation Report)</t>
  </si>
  <si>
    <t>OR - Additional Plant &amp; Equipment Purchased at Carry Written Down Value (Excluded from Tax Depreciation Report)</t>
  </si>
  <si>
    <t>Less: Division 40 Depreciation Claimed in Prior Years</t>
  </si>
  <si>
    <t>Less: Division 43 Capital Works Deductions Claimed in Prior Years</t>
  </si>
  <si>
    <t>OR - Additional Renovation Costs at Carry Written Down Value (Excluded from Tax Depreciation Report)</t>
  </si>
  <si>
    <t>Gross Capital Gains (+) / Losses (-)</t>
  </si>
  <si>
    <t>Gross Capital Gains Per Ownership %</t>
  </si>
  <si>
    <t>Gross Capital Gains Per CGT Event %</t>
  </si>
  <si>
    <t>Carried-forward Capital Losses</t>
  </si>
  <si>
    <t>Gross Capital Gains After Offsetting Carried-forward Capital Losses</t>
  </si>
  <si>
    <t xml:space="preserve"> - Insurance Premiums</t>
  </si>
  <si>
    <t xml:space="preserve"> - Lenders' Mortgage Insurance (LMI) Associated with Non-deductible Loans</t>
  </si>
  <si>
    <t xml:space="preserve"> - Property Title Search and Other Search Fees (e.g. PEXA Fees)</t>
  </si>
  <si>
    <t>Agency Rental Summary</t>
  </si>
  <si>
    <t>Client Name: XXX (100%) or XXX (50%) &amp; XXX (50%)</t>
  </si>
  <si>
    <t>Capital Works Deduction/Special Building w/off Allowance - Tax Dep. Report</t>
  </si>
  <si>
    <t>Capital Allowances/Depreciation on Plant - Tax Dep. Report</t>
  </si>
  <si>
    <t>Advertising &amp; Marketing</t>
  </si>
  <si>
    <t>Repairs &amp; Maintenance - Smoke Alarms</t>
  </si>
  <si>
    <t xml:space="preserve"> - Lease Renewal Fees</t>
  </si>
  <si>
    <t xml:space="preserve"> - Lease Preparation Fees</t>
  </si>
  <si>
    <t>Travel Expenses (Only deductible if client is running a business)</t>
  </si>
  <si>
    <t>…</t>
  </si>
  <si>
    <t>Asset / Transaction Type</t>
  </si>
  <si>
    <t>Total Gain / (Loss)</t>
  </si>
  <si>
    <t>Discount Eligible Gain (held &gt;12 months)</t>
  </si>
  <si>
    <t>Non-Discountable Gain</t>
  </si>
  <si>
    <t>Capital Loss</t>
  </si>
  <si>
    <t>Notes / Description</t>
  </si>
  <si>
    <t>CGT from Shares</t>
  </si>
  <si>
    <t>Disposal of listed/unlisted shares, units, ETFs etc.</t>
  </si>
  <si>
    <t>CGT from Crypto</t>
  </si>
  <si>
    <t>Sale, swap, or disposal of crypto assets</t>
  </si>
  <si>
    <t>CGT from Property</t>
  </si>
  <si>
    <t>Sale of investment property, land, or other taxable real property</t>
  </si>
  <si>
    <t>CGT from Managed Funds</t>
  </si>
  <si>
    <t>Capital gains distributed or disposal of units</t>
  </si>
  <si>
    <t>CGT from Business Assets</t>
  </si>
  <si>
    <t>Goodwill, business property, active assets etc.</t>
  </si>
  <si>
    <t>CGT from Collectables</t>
  </si>
  <si>
    <t>Artwork, jewellery, antiques, rare coins etc.</t>
  </si>
  <si>
    <t>CGT from Other Assets</t>
  </si>
  <si>
    <t>Any other taxable CGT events</t>
  </si>
  <si>
    <t>Total current year capital gains / losses</t>
  </si>
  <si>
    <t>Total current year capital gains</t>
  </si>
  <si>
    <t>Total gains before applying losses</t>
  </si>
  <si>
    <t>Less: Current year capital losses</t>
  </si>
  <si>
    <t>Losses arising in current year</t>
  </si>
  <si>
    <t>Net capital gain before prior year losses</t>
  </si>
  <si>
    <t>Less: Prior year net capital losses applied</t>
  </si>
  <si>
    <t>Carried forward losses from prior years</t>
  </si>
  <si>
    <t>Capital gain after losses</t>
  </si>
  <si>
    <t>Amount remaining before CGT discount</t>
  </si>
  <si>
    <t>Less: CGT discount</t>
  </si>
  <si>
    <t>Amount to be included in tax return</t>
  </si>
  <si>
    <t>50% of discountable gain</t>
  </si>
  <si>
    <r>
      <t>Long-term gains</t>
    </r>
    <r>
      <rPr>
        <sz val="10"/>
        <color theme="1"/>
        <rFont val="Arial"/>
        <family val="2"/>
      </rPr>
      <t xml:space="preserve"> are gains on assets held for more than 12 months and may be eligible for the 50% CGT discount.</t>
    </r>
  </si>
  <si>
    <r>
      <t>Short-term gains</t>
    </r>
    <r>
      <rPr>
        <sz val="10"/>
        <color theme="1"/>
        <rFont val="Arial"/>
        <family val="2"/>
      </rPr>
      <t xml:space="preserve"> are gains not eligible for the discount.</t>
    </r>
  </si>
  <si>
    <r>
      <t xml:space="preserve">The </t>
    </r>
    <r>
      <rPr>
        <b/>
        <sz val="10"/>
        <color theme="1"/>
        <rFont val="Arial"/>
        <family val="2"/>
      </rPr>
      <t>net capital gain</t>
    </r>
    <r>
      <rPr>
        <sz val="10"/>
        <color theme="1"/>
        <rFont val="Arial"/>
        <family val="2"/>
      </rPr>
      <t xml:space="preserve"> is the final amount to be disclosed in the income tax return.</t>
    </r>
  </si>
  <si>
    <t>Notes-</t>
  </si>
  <si>
    <t>CGT Gain / Loss Summary Workpaper</t>
  </si>
  <si>
    <r>
      <t>Capital losses</t>
    </r>
    <r>
      <rPr>
        <sz val="10"/>
        <color theme="1"/>
        <rFont val="Arial"/>
        <family val="2"/>
      </rPr>
      <t xml:space="preserve"> are applied against capital gains </t>
    </r>
    <r>
      <rPr>
        <b/>
        <sz val="10"/>
        <color theme="1"/>
        <rFont val="Arial"/>
        <family val="2"/>
      </rPr>
      <t>before</t>
    </r>
    <r>
      <rPr>
        <sz val="10"/>
        <color theme="1"/>
        <rFont val="Arial"/>
        <family val="2"/>
      </rPr>
      <t xml:space="preserve"> applying any CGT discount.</t>
    </r>
  </si>
  <si>
    <r>
      <t>Prior year capital losses</t>
    </r>
    <r>
      <rPr>
        <sz val="10"/>
        <color theme="1"/>
        <rFont val="Arial"/>
        <family val="2"/>
      </rPr>
      <t xml:space="preserve"> are applied after current year losses and </t>
    </r>
    <r>
      <rPr>
        <b/>
        <sz val="10"/>
        <color theme="1"/>
        <rFont val="Arial"/>
        <family val="2"/>
      </rPr>
      <t>before</t>
    </r>
    <r>
      <rPr>
        <sz val="10"/>
        <color theme="1"/>
        <rFont val="Arial"/>
        <family val="2"/>
      </rPr>
      <t xml:space="preserve"> the CGT discount.</t>
    </r>
  </si>
  <si>
    <t>For The Year Ended: 30th June 2026</t>
  </si>
  <si>
    <t>Revised Jun Qtr 2026 BAS</t>
  </si>
  <si>
    <t>FY 2026</t>
  </si>
  <si>
    <t>Employee share scheme</t>
  </si>
  <si>
    <t>13C - Franked</t>
  </si>
  <si>
    <t>13U - NPP</t>
  </si>
  <si>
    <t>Foreign Income from Trust Distribution</t>
  </si>
  <si>
    <t>Foreign Income - Other</t>
  </si>
  <si>
    <t>Capital Gains - Trust Distribution</t>
  </si>
  <si>
    <t>Capital Gains - Shares</t>
  </si>
  <si>
    <t>Capital Gains - Property</t>
  </si>
  <si>
    <t>Foreign Income - Trust Distribution</t>
  </si>
  <si>
    <t>ATO GIC - NON DEDUCTIBLE</t>
  </si>
  <si>
    <t>Primary producer Income averaging - NO</t>
  </si>
  <si>
    <t xml:space="preserve">Depreciation schedule for Personal Deductions and Rental Schedule </t>
  </si>
  <si>
    <t>Name</t>
  </si>
  <si>
    <t>Rate</t>
  </si>
  <si>
    <t>Effective Life</t>
  </si>
  <si>
    <t>Method</t>
  </si>
  <si>
    <t>Dep Start Date</t>
  </si>
  <si>
    <t>Disposed</t>
  </si>
  <si>
    <t>Sale Price</t>
  </si>
  <si>
    <t>Opening Value</t>
  </si>
  <si>
    <t>Purchases</t>
  </si>
  <si>
    <t>Residual Value</t>
  </si>
  <si>
    <t>Disposals</t>
  </si>
  <si>
    <t>Closing Value</t>
  </si>
  <si>
    <t>Link to purchase doc/source doc</t>
  </si>
  <si>
    <t>*ALTERNATIVELY</t>
  </si>
  <si>
    <t>*Snip the Asset Depreciation worksheet from XPM below</t>
  </si>
  <si>
    <t>*Link the purchase invoice for new purchase this FY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</si>
</sst>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&quot;$&quot;#,##0.00"/>
    <numFmt numFmtId="167" formatCode="_-* #,##0_-;\-* #,##0_-;_-* &quot;-&quot;??_-;_-@_-"/>
    <numFmt numFmtId="168" formatCode="[$-C09]dd\-mmm\-yy;@"/>
    <numFmt numFmtId="169" formatCode="#,##0.00;[Red]\(##,#00.00\)"/>
    <numFmt numFmtId="170" formatCode="_-* #,##0.00000_-;\-* #,##0.00000_-;_-* &quot;-&quot;??_-;_-@_-"/>
    <numFmt numFmtId="171" formatCode="#,##0.00_ ;[Red]\-#,##0.00\ "/>
    <numFmt numFmtId="172" formatCode="_(&quot;$&quot;* #,##0.00_);_(&quot;$&quot;* \(#,##0.00\);_(&quot;$&quot;* &quot;-&quot;_);_(@_)"/>
    <numFmt numFmtId="173" formatCode="_(* #,##0_);_(* \(#,##0\);_(* &quot;-&quot;??_);_(@_)"/>
  </numFmts>
  <fonts count="91" x14ac:knownFonts="1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u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i/>
      <u/>
      <sz val="11"/>
      <name val="Calibri"/>
      <family val="2"/>
      <scheme val="minor"/>
    </font>
    <font>
      <sz val="11"/>
      <color indexed="8"/>
      <name val="Calibri"/>
      <family val="2"/>
      <scheme val="minor"/>
    </font>
    <font>
      <i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sz val="10"/>
      <color theme="1"/>
      <name val="Arial"/>
      <family val="2"/>
    </font>
    <font>
      <u/>
      <sz val="10"/>
      <name val="Arial"/>
      <family val="2"/>
    </font>
    <font>
      <b/>
      <sz val="10"/>
      <name val="Arial"/>
      <family val="2"/>
    </font>
    <font>
      <i/>
      <sz val="10"/>
      <name val="Arial"/>
      <family val="2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u/>
      <sz val="10"/>
      <name val="Calibri"/>
      <family val="2"/>
      <scheme val="minor"/>
    </font>
    <font>
      <b/>
      <u/>
      <sz val="10"/>
      <color theme="10"/>
      <name val="Calibri"/>
      <family val="2"/>
      <scheme val="minor"/>
    </font>
    <font>
      <i/>
      <sz val="10"/>
      <name val="Calibri"/>
      <family val="2"/>
      <scheme val="minor"/>
    </font>
    <font>
      <b/>
      <i/>
      <sz val="10"/>
      <name val="Calibri"/>
      <family val="2"/>
      <scheme val="minor"/>
    </font>
    <font>
      <u/>
      <sz val="10"/>
      <name val="Calibri"/>
      <family val="2"/>
      <scheme val="minor"/>
    </font>
    <font>
      <i/>
      <u/>
      <sz val="10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2"/>
      <color rgb="FF0070C0"/>
      <name val="Calibri"/>
      <family val="2"/>
      <scheme val="minor"/>
    </font>
    <font>
      <sz val="12"/>
      <color rgb="FF0070C0"/>
      <name val="Calibri"/>
      <family val="2"/>
      <scheme val="minor"/>
    </font>
    <font>
      <b/>
      <u/>
      <sz val="16"/>
      <color rgb="FF0070C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0"/>
      <color rgb="FF0070C0"/>
      <name val="Arial"/>
      <family val="2"/>
    </font>
    <font>
      <sz val="10"/>
      <color rgb="FF0070C0"/>
      <name val="Calibri"/>
      <family val="2"/>
      <scheme val="minor"/>
    </font>
    <font>
      <b/>
      <sz val="10"/>
      <color rgb="FF0070C0"/>
      <name val="Calibri"/>
      <family val="2"/>
      <scheme val="minor"/>
    </font>
    <font>
      <sz val="8"/>
      <name val="Arial"/>
      <family val="2"/>
    </font>
    <font>
      <b/>
      <sz val="10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rgb="FF000000"/>
      <name val="Times New Roman"/>
      <family val="1"/>
    </font>
    <font>
      <b/>
      <sz val="8"/>
      <name val="Verdana"/>
      <family val="2"/>
    </font>
    <font>
      <b/>
      <sz val="20"/>
      <color theme="1"/>
      <name val="Calibri"/>
      <family val="2"/>
      <scheme val="minor"/>
    </font>
    <font>
      <b/>
      <sz val="10"/>
      <color rgb="FF333333"/>
      <name val="Calibri"/>
      <family val="2"/>
    </font>
    <font>
      <sz val="10"/>
      <color rgb="FF333333"/>
      <name val="Calibri"/>
      <family val="2"/>
    </font>
    <font>
      <u/>
      <sz val="10"/>
      <color theme="10"/>
      <name val="Arial"/>
      <family val="2"/>
    </font>
    <font>
      <sz val="10"/>
      <color theme="3"/>
      <name val="Arial"/>
      <family val="2"/>
    </font>
    <font>
      <b/>
      <sz val="10"/>
      <color theme="3"/>
      <name val="Arial"/>
      <family val="2"/>
    </font>
    <font>
      <b/>
      <i/>
      <sz val="10"/>
      <color indexed="8"/>
      <name val="Arial"/>
      <family val="2"/>
    </font>
    <font>
      <sz val="10"/>
      <color indexed="8"/>
      <name val="Arial"/>
      <family val="2"/>
    </font>
    <font>
      <b/>
      <u/>
      <sz val="10"/>
      <color theme="10"/>
      <name val="Arial"/>
      <family val="2"/>
    </font>
    <font>
      <b/>
      <sz val="10"/>
      <color indexed="8"/>
      <name val="Arial"/>
      <family val="2"/>
    </font>
    <font>
      <b/>
      <u/>
      <sz val="10"/>
      <color theme="1"/>
      <name val="Arial"/>
      <family val="2"/>
    </font>
    <font>
      <i/>
      <sz val="10"/>
      <color indexed="8"/>
      <name val="Arial"/>
      <family val="2"/>
    </font>
    <font>
      <b/>
      <i/>
      <sz val="10"/>
      <color theme="1"/>
      <name val="Arial"/>
      <family val="2"/>
    </font>
    <font>
      <sz val="12"/>
      <color rgb="FF0070C0"/>
      <name val="Arial"/>
      <family val="2"/>
    </font>
    <font>
      <sz val="12"/>
      <color theme="1"/>
      <name val="Arial"/>
      <family val="2"/>
    </font>
    <font>
      <b/>
      <sz val="12"/>
      <name val="Arial"/>
      <family val="2"/>
    </font>
    <font>
      <b/>
      <sz val="12"/>
      <color rgb="FF0070C0"/>
      <name val="Arial"/>
      <family val="2"/>
    </font>
    <font>
      <sz val="12"/>
      <name val="Arial"/>
      <family val="2"/>
    </font>
    <font>
      <b/>
      <sz val="10"/>
      <color theme="0"/>
      <name val="Arial"/>
      <family val="2"/>
    </font>
    <font>
      <b/>
      <sz val="10"/>
      <color rgb="FF0070C0"/>
      <name val="Arial"/>
      <family val="2"/>
    </font>
    <font>
      <b/>
      <sz val="10"/>
      <color theme="4"/>
      <name val="Arial"/>
      <family val="2"/>
    </font>
    <font>
      <i/>
      <sz val="10"/>
      <color theme="1"/>
      <name val="Arial"/>
      <family val="2"/>
    </font>
    <font>
      <sz val="10"/>
      <color rgb="FFFF0000"/>
      <name val="Arial"/>
      <family val="2"/>
    </font>
    <font>
      <i/>
      <sz val="10"/>
      <color rgb="FF0070C0"/>
      <name val="Arial"/>
      <family val="2"/>
    </font>
    <font>
      <u/>
      <sz val="10"/>
      <color theme="1"/>
      <name val="Arial"/>
      <family val="2"/>
    </font>
    <font>
      <sz val="10"/>
      <color rgb="FF000000"/>
      <name val="Arial"/>
      <family val="2"/>
    </font>
    <font>
      <b/>
      <u/>
      <sz val="12"/>
      <color rgb="FF0070C0"/>
      <name val="Arial"/>
      <family val="2"/>
    </font>
    <font>
      <b/>
      <i/>
      <u/>
      <sz val="10"/>
      <name val="Arial"/>
      <family val="2"/>
    </font>
    <font>
      <b/>
      <i/>
      <sz val="10"/>
      <name val="Arial"/>
      <family val="2"/>
    </font>
    <font>
      <b/>
      <u/>
      <sz val="10"/>
      <name val="Arial"/>
      <family val="2"/>
    </font>
    <font>
      <b/>
      <sz val="10"/>
      <color rgb="FF333333"/>
      <name val="Arial"/>
      <family val="2"/>
    </font>
    <font>
      <sz val="10"/>
      <color rgb="FF333333"/>
      <name val="Arial"/>
      <family val="2"/>
    </font>
    <font>
      <u/>
      <sz val="12"/>
      <color theme="1"/>
      <name val="Arial"/>
      <family val="2"/>
    </font>
    <font>
      <b/>
      <u/>
      <sz val="10"/>
      <color rgb="FF0070C0"/>
      <name val="Arial"/>
      <family val="2"/>
    </font>
    <font>
      <b/>
      <sz val="14"/>
      <name val="Arial"/>
      <family val="2"/>
    </font>
    <font>
      <b/>
      <sz val="10"/>
      <color rgb="FF000000"/>
      <name val="Arial"/>
      <family val="2"/>
    </font>
    <font>
      <b/>
      <sz val="10"/>
      <color rgb="FFFF000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B4FCBB"/>
        <bgColor indexed="64"/>
      </patternFill>
    </fill>
    <fill>
      <patternFill patternType="solid">
        <fgColor rgb="FFDAEEF3"/>
        <bgColor rgb="FF000000"/>
      </patternFill>
    </fill>
  </fills>
  <borders count="5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2">
    <xf numFmtId="0" fontId="0" fillId="0" borderId="0"/>
    <xf numFmtId="0" fontId="9" fillId="0" borderId="0"/>
    <xf numFmtId="0" fontId="10" fillId="0" borderId="0"/>
    <xf numFmtId="4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9" fillId="0" borderId="0"/>
    <xf numFmtId="44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7" fillId="0" borderId="0"/>
    <xf numFmtId="44" fontId="7" fillId="0" borderId="0" applyFont="0" applyFill="0" applyBorder="0" applyAlignment="0" applyProtection="0"/>
    <xf numFmtId="0" fontId="26" fillId="0" borderId="0" applyNumberFormat="0" applyFill="0" applyBorder="0" applyAlignment="0" applyProtection="0"/>
    <xf numFmtId="43" fontId="7" fillId="0" borderId="0" applyFont="0" applyFill="0" applyBorder="0" applyAlignment="0" applyProtection="0"/>
    <xf numFmtId="0" fontId="9" fillId="0" borderId="0"/>
    <xf numFmtId="0" fontId="21" fillId="0" borderId="0"/>
    <xf numFmtId="43" fontId="9" fillId="0" borderId="0" applyFont="0" applyFill="0" applyBorder="0" applyAlignment="0" applyProtection="0"/>
    <xf numFmtId="0" fontId="9" fillId="0" borderId="0"/>
    <xf numFmtId="165" fontId="21" fillId="0" borderId="0" applyFont="0" applyFill="0" applyBorder="0" applyAlignment="0" applyProtection="0"/>
    <xf numFmtId="0" fontId="6" fillId="0" borderId="0"/>
    <xf numFmtId="0" fontId="50" fillId="0" borderId="0"/>
    <xf numFmtId="0" fontId="52" fillId="0" borderId="0"/>
    <xf numFmtId="0" fontId="26" fillId="0" borderId="0" applyNumberFormat="0" applyFill="0" applyBorder="0" applyAlignment="0" applyProtection="0"/>
    <xf numFmtId="44" fontId="6" fillId="0" borderId="0" applyFont="0" applyFill="0" applyBorder="0" applyAlignment="0" applyProtection="0"/>
    <xf numFmtId="165" fontId="21" fillId="0" borderId="0" applyFont="0" applyFill="0" applyBorder="0" applyAlignment="0" applyProtection="0"/>
    <xf numFmtId="0" fontId="55" fillId="0" borderId="0">
      <alignment horizontal="left" vertical="center" wrapText="1"/>
    </xf>
    <xf numFmtId="0" fontId="56" fillId="7" borderId="19">
      <alignment horizontal="left" vertical="center" wrapText="1"/>
    </xf>
    <xf numFmtId="0" fontId="56" fillId="0" borderId="0">
      <alignment horizontal="left" vertical="center" wrapText="1"/>
    </xf>
    <xf numFmtId="49" fontId="56" fillId="6" borderId="19">
      <alignment horizontal="center" vertical="center" wrapText="1"/>
      <protection locked="0"/>
    </xf>
    <xf numFmtId="172" fontId="56" fillId="7" borderId="19">
      <alignment vertical="center"/>
    </xf>
    <xf numFmtId="0" fontId="57" fillId="0" borderId="0" applyNumberFormat="0" applyFill="0" applyBorder="0" applyAlignment="0" applyProtection="0"/>
    <xf numFmtId="44" fontId="9" fillId="0" borderId="0" applyFont="0" applyFill="0" applyBorder="0" applyAlignment="0" applyProtection="0"/>
    <xf numFmtId="0" fontId="9" fillId="0" borderId="0"/>
    <xf numFmtId="0" fontId="4" fillId="0" borderId="0"/>
    <xf numFmtId="165" fontId="18" fillId="0" borderId="0" applyFont="0" applyFill="0" applyBorder="0" applyAlignment="0" applyProtection="0"/>
    <xf numFmtId="0" fontId="57" fillId="0" borderId="0" applyNumberFormat="0" applyFill="0" applyBorder="0" applyAlignment="0" applyProtection="0">
      <alignment vertical="center"/>
    </xf>
    <xf numFmtId="9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1" fillId="0" borderId="0"/>
    <xf numFmtId="44" fontId="21" fillId="0" borderId="0" applyFont="0" applyFill="0" applyBorder="0" applyAlignment="0" applyProtection="0"/>
    <xf numFmtId="0" fontId="57" fillId="0" borderId="0" applyNumberFormat="0" applyFill="0" applyBorder="0" applyAlignment="0" applyProtection="0"/>
    <xf numFmtId="165" fontId="21" fillId="0" borderId="0" applyFont="0" applyFill="0" applyBorder="0" applyAlignment="0" applyProtection="0"/>
    <xf numFmtId="4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9" fillId="0" borderId="0">
      <alignment vertical="center"/>
    </xf>
    <xf numFmtId="164" fontId="18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02">
    <xf numFmtId="0" fontId="0" fillId="0" borderId="0" xfId="0"/>
    <xf numFmtId="0" fontId="15" fillId="0" borderId="0" xfId="2" applyFont="1"/>
    <xf numFmtId="0" fontId="16" fillId="0" borderId="0" xfId="2" applyFont="1" applyAlignment="1">
      <alignment horizontal="left"/>
    </xf>
    <xf numFmtId="49" fontId="15" fillId="0" borderId="0" xfId="2" applyNumberFormat="1" applyFont="1"/>
    <xf numFmtId="0" fontId="16" fillId="0" borderId="0" xfId="2" applyFont="1"/>
    <xf numFmtId="0" fontId="16" fillId="0" borderId="0" xfId="0" applyFont="1" applyAlignment="1">
      <alignment horizontal="left"/>
    </xf>
    <xf numFmtId="0" fontId="15" fillId="0" borderId="0" xfId="2" applyFont="1" applyAlignment="1">
      <alignment horizontal="left"/>
    </xf>
    <xf numFmtId="0" fontId="17" fillId="0" borderId="0" xfId="2" applyFont="1" applyAlignment="1">
      <alignment horizontal="left"/>
    </xf>
    <xf numFmtId="0" fontId="16" fillId="0" borderId="0" xfId="1" applyFont="1" applyAlignment="1">
      <alignment horizontal="center"/>
    </xf>
    <xf numFmtId="2" fontId="16" fillId="0" borderId="0" xfId="1" applyNumberFormat="1" applyFont="1" applyAlignment="1">
      <alignment horizontal="center"/>
    </xf>
    <xf numFmtId="0" fontId="16" fillId="0" borderId="0" xfId="1" applyFont="1"/>
    <xf numFmtId="0" fontId="15" fillId="0" borderId="0" xfId="1" applyFont="1" applyAlignment="1">
      <alignment horizontal="left"/>
    </xf>
    <xf numFmtId="2" fontId="15" fillId="0" borderId="0" xfId="1" applyNumberFormat="1" applyFont="1"/>
    <xf numFmtId="0" fontId="15" fillId="0" borderId="0" xfId="1" applyFont="1" applyAlignment="1">
      <alignment horizontal="center"/>
    </xf>
    <xf numFmtId="43" fontId="15" fillId="0" borderId="0" xfId="2" applyNumberFormat="1" applyFont="1"/>
    <xf numFmtId="43" fontId="15" fillId="0" borderId="0" xfId="1" applyNumberFormat="1" applyFont="1"/>
    <xf numFmtId="0" fontId="15" fillId="0" borderId="0" xfId="1" applyFont="1"/>
    <xf numFmtId="43" fontId="15" fillId="0" borderId="0" xfId="7" applyFont="1" applyBorder="1"/>
    <xf numFmtId="44" fontId="16" fillId="0" borderId="0" xfId="2" applyNumberFormat="1" applyFont="1"/>
    <xf numFmtId="0" fontId="15" fillId="0" borderId="1" xfId="1" applyFont="1" applyBorder="1"/>
    <xf numFmtId="0" fontId="15" fillId="0" borderId="1" xfId="1" applyFont="1" applyBorder="1" applyAlignment="1">
      <alignment horizontal="center"/>
    </xf>
    <xf numFmtId="0" fontId="14" fillId="0" borderId="0" xfId="1" applyFont="1"/>
    <xf numFmtId="0" fontId="14" fillId="0" borderId="0" xfId="1" applyFont="1" applyAlignment="1">
      <alignment horizontal="center"/>
    </xf>
    <xf numFmtId="43" fontId="16" fillId="0" borderId="0" xfId="1" applyNumberFormat="1" applyFont="1"/>
    <xf numFmtId="14" fontId="15" fillId="0" borderId="0" xfId="1" applyNumberFormat="1" applyFont="1"/>
    <xf numFmtId="43" fontId="15" fillId="0" borderId="16" xfId="1" applyNumberFormat="1" applyFont="1" applyBorder="1"/>
    <xf numFmtId="0" fontId="20" fillId="0" borderId="0" xfId="1" applyFont="1" applyAlignment="1">
      <alignment horizontal="center"/>
    </xf>
    <xf numFmtId="43" fontId="20" fillId="0" borderId="0" xfId="1" applyNumberFormat="1" applyFont="1"/>
    <xf numFmtId="43" fontId="19" fillId="0" borderId="0" xfId="1" applyNumberFormat="1" applyFont="1"/>
    <xf numFmtId="0" fontId="20" fillId="0" borderId="0" xfId="1" applyFont="1"/>
    <xf numFmtId="0" fontId="19" fillId="0" borderId="0" xfId="1" applyFont="1"/>
    <xf numFmtId="4" fontId="15" fillId="0" borderId="0" xfId="1" applyNumberFormat="1" applyFont="1"/>
    <xf numFmtId="43" fontId="15" fillId="0" borderId="0" xfId="1" applyNumberFormat="1" applyFont="1" applyAlignment="1">
      <alignment horizontal="right"/>
    </xf>
    <xf numFmtId="43" fontId="16" fillId="0" borderId="2" xfId="1" applyNumberFormat="1" applyFont="1" applyBorder="1"/>
    <xf numFmtId="43" fontId="19" fillId="0" borderId="3" xfId="1" applyNumberFormat="1" applyFont="1" applyBorder="1"/>
    <xf numFmtId="44" fontId="16" fillId="0" borderId="3" xfId="5" applyFont="1" applyBorder="1"/>
    <xf numFmtId="2" fontId="15" fillId="0" borderId="0" xfId="5" applyNumberFormat="1" applyFont="1"/>
    <xf numFmtId="166" fontId="16" fillId="0" borderId="0" xfId="1" applyNumberFormat="1" applyFont="1" applyAlignment="1">
      <alignment horizontal="center"/>
    </xf>
    <xf numFmtId="166" fontId="15" fillId="0" borderId="0" xfId="1" applyNumberFormat="1" applyFont="1"/>
    <xf numFmtId="15" fontId="15" fillId="0" borderId="0" xfId="1" applyNumberFormat="1" applyFont="1"/>
    <xf numFmtId="3" fontId="15" fillId="0" borderId="0" xfId="1" applyNumberFormat="1" applyFont="1"/>
    <xf numFmtId="15" fontId="16" fillId="0" borderId="0" xfId="1" applyNumberFormat="1" applyFont="1" applyAlignment="1">
      <alignment horizontal="center"/>
    </xf>
    <xf numFmtId="3" fontId="16" fillId="0" borderId="0" xfId="1" applyNumberFormat="1" applyFont="1" applyAlignment="1">
      <alignment horizontal="center"/>
    </xf>
    <xf numFmtId="0" fontId="15" fillId="0" borderId="5" xfId="1" applyFont="1" applyBorder="1"/>
    <xf numFmtId="0" fontId="15" fillId="0" borderId="4" xfId="1" applyFont="1" applyBorder="1"/>
    <xf numFmtId="0" fontId="15" fillId="0" borderId="9" xfId="1" applyFont="1" applyBorder="1"/>
    <xf numFmtId="0" fontId="15" fillId="0" borderId="6" xfId="1" applyFont="1" applyBorder="1"/>
    <xf numFmtId="0" fontId="15" fillId="0" borderId="7" xfId="1" applyFont="1" applyBorder="1"/>
    <xf numFmtId="168" fontId="22" fillId="0" borderId="0" xfId="12" applyNumberFormat="1" applyFont="1"/>
    <xf numFmtId="0" fontId="9" fillId="0" borderId="0" xfId="12"/>
    <xf numFmtId="169" fontId="9" fillId="0" borderId="0" xfId="12" applyNumberFormat="1"/>
    <xf numFmtId="169" fontId="23" fillId="0" borderId="0" xfId="12" applyNumberFormat="1" applyFont="1" applyAlignment="1">
      <alignment horizontal="center"/>
    </xf>
    <xf numFmtId="168" fontId="9" fillId="0" borderId="0" xfId="12" applyNumberFormat="1"/>
    <xf numFmtId="43" fontId="9" fillId="0" borderId="0" xfId="10" applyFont="1"/>
    <xf numFmtId="49" fontId="9" fillId="0" borderId="0" xfId="12" applyNumberFormat="1"/>
    <xf numFmtId="49" fontId="24" fillId="0" borderId="0" xfId="12" applyNumberFormat="1" applyFont="1"/>
    <xf numFmtId="168" fontId="23" fillId="0" borderId="0" xfId="12" applyNumberFormat="1" applyFont="1"/>
    <xf numFmtId="43" fontId="23" fillId="0" borderId="0" xfId="10" applyFont="1" applyFill="1" applyBorder="1"/>
    <xf numFmtId="0" fontId="15" fillId="0" borderId="16" xfId="1" applyFont="1" applyBorder="1"/>
    <xf numFmtId="43" fontId="9" fillId="0" borderId="0" xfId="10" applyFont="1" applyBorder="1"/>
    <xf numFmtId="43" fontId="23" fillId="0" borderId="0" xfId="10" applyFont="1" applyBorder="1"/>
    <xf numFmtId="169" fontId="15" fillId="0" borderId="2" xfId="1" applyNumberFormat="1" applyFont="1" applyBorder="1"/>
    <xf numFmtId="2" fontId="9" fillId="0" borderId="2" xfId="12" applyNumberFormat="1" applyBorder="1"/>
    <xf numFmtId="2" fontId="9" fillId="0" borderId="0" xfId="12" applyNumberFormat="1"/>
    <xf numFmtId="9" fontId="15" fillId="0" borderId="8" xfId="14" applyFont="1" applyBorder="1"/>
    <xf numFmtId="44" fontId="0" fillId="0" borderId="0" xfId="13" applyFont="1"/>
    <xf numFmtId="0" fontId="7" fillId="0" borderId="0" xfId="15"/>
    <xf numFmtId="0" fontId="13" fillId="0" borderId="0" xfId="15" applyFont="1"/>
    <xf numFmtId="0" fontId="12" fillId="0" borderId="0" xfId="19" applyFont="1"/>
    <xf numFmtId="0" fontId="11" fillId="0" borderId="0" xfId="19" applyFont="1"/>
    <xf numFmtId="0" fontId="28" fillId="0" borderId="0" xfId="19" applyFont="1" applyAlignment="1">
      <alignment horizontal="center"/>
    </xf>
    <xf numFmtId="43" fontId="12" fillId="0" borderId="0" xfId="19" applyNumberFormat="1" applyFont="1"/>
    <xf numFmtId="0" fontId="30" fillId="0" borderId="0" xfId="19" applyFont="1"/>
    <xf numFmtId="0" fontId="27" fillId="0" borderId="0" xfId="15" applyFont="1" applyAlignment="1">
      <alignment horizontal="center"/>
    </xf>
    <xf numFmtId="0" fontId="28" fillId="0" borderId="0" xfId="19" applyFont="1"/>
    <xf numFmtId="4" fontId="28" fillId="0" borderId="0" xfId="19" applyNumberFormat="1" applyFont="1" applyAlignment="1">
      <alignment horizontal="center"/>
    </xf>
    <xf numFmtId="49" fontId="28" fillId="0" borderId="0" xfId="19" applyNumberFormat="1" applyFont="1"/>
    <xf numFmtId="168" fontId="28" fillId="0" borderId="0" xfId="19" applyNumberFormat="1" applyFont="1" applyAlignment="1">
      <alignment horizontal="center"/>
    </xf>
    <xf numFmtId="43" fontId="13" fillId="0" borderId="0" xfId="18" applyFont="1" applyFill="1"/>
    <xf numFmtId="170" fontId="12" fillId="0" borderId="0" xfId="19" applyNumberFormat="1" applyFont="1"/>
    <xf numFmtId="43" fontId="13" fillId="0" borderId="0" xfId="18" applyFont="1" applyFill="1" applyAlignment="1">
      <alignment horizontal="center"/>
    </xf>
    <xf numFmtId="49" fontId="12" fillId="0" borderId="0" xfId="19" applyNumberFormat="1" applyFont="1"/>
    <xf numFmtId="168" fontId="12" fillId="0" borderId="0" xfId="19" applyNumberFormat="1" applyFont="1"/>
    <xf numFmtId="0" fontId="32" fillId="0" borderId="0" xfId="19" applyFont="1" applyAlignment="1">
      <alignment horizontal="center"/>
    </xf>
    <xf numFmtId="171" fontId="32" fillId="0" borderId="0" xfId="19" applyNumberFormat="1" applyFont="1" applyAlignment="1">
      <alignment horizontal="center"/>
    </xf>
    <xf numFmtId="0" fontId="29" fillId="0" borderId="0" xfId="17" applyFont="1" applyFill="1"/>
    <xf numFmtId="2" fontId="12" fillId="0" borderId="0" xfId="19" applyNumberFormat="1" applyFont="1"/>
    <xf numFmtId="43" fontId="33" fillId="0" borderId="0" xfId="17" applyNumberFormat="1" applyFont="1" applyFill="1" applyBorder="1"/>
    <xf numFmtId="0" fontId="7" fillId="0" borderId="12" xfId="15" applyBorder="1"/>
    <xf numFmtId="0" fontId="34" fillId="0" borderId="12" xfId="15" applyFont="1" applyBorder="1" applyAlignment="1">
      <alignment horizontal="left" vertical="top" wrapText="1"/>
    </xf>
    <xf numFmtId="0" fontId="34" fillId="0" borderId="13" xfId="15" applyFont="1" applyBorder="1" applyAlignment="1">
      <alignment horizontal="left" vertical="top" wrapText="1"/>
    </xf>
    <xf numFmtId="0" fontId="34" fillId="0" borderId="0" xfId="15" applyFont="1" applyAlignment="1">
      <alignment horizontal="center" vertical="top" wrapText="1"/>
    </xf>
    <xf numFmtId="0" fontId="34" fillId="0" borderId="0" xfId="15" applyFont="1" applyAlignment="1">
      <alignment horizontal="left" vertical="top" wrapText="1"/>
    </xf>
    <xf numFmtId="0" fontId="7" fillId="0" borderId="0" xfId="15" applyAlignment="1">
      <alignment horizontal="left" wrapText="1"/>
    </xf>
    <xf numFmtId="0" fontId="7" fillId="0" borderId="12" xfId="15" applyBorder="1" applyAlignment="1">
      <alignment horizontal="left" wrapText="1"/>
    </xf>
    <xf numFmtId="0" fontId="35" fillId="0" borderId="0" xfId="15" applyFont="1"/>
    <xf numFmtId="0" fontId="36" fillId="0" borderId="0" xfId="15" applyFont="1"/>
    <xf numFmtId="44" fontId="34" fillId="0" borderId="12" xfId="15" applyNumberFormat="1" applyFont="1" applyBorder="1" applyAlignment="1">
      <alignment horizontal="center" vertical="top" wrapText="1"/>
    </xf>
    <xf numFmtId="44" fontId="34" fillId="0" borderId="13" xfId="15" applyNumberFormat="1" applyFont="1" applyBorder="1" applyAlignment="1">
      <alignment horizontal="center" vertical="top" wrapText="1"/>
    </xf>
    <xf numFmtId="0" fontId="37" fillId="0" borderId="0" xfId="15" applyFont="1" applyAlignment="1">
      <alignment horizontal="left"/>
    </xf>
    <xf numFmtId="44" fontId="7" fillId="0" borderId="14" xfId="15" applyNumberFormat="1" applyBorder="1" applyAlignment="1">
      <alignment horizontal="left" wrapText="1"/>
    </xf>
    <xf numFmtId="44" fontId="7" fillId="0" borderId="11" xfId="15" applyNumberFormat="1" applyBorder="1" applyAlignment="1">
      <alignment horizontal="left" wrapText="1"/>
    </xf>
    <xf numFmtId="44" fontId="7" fillId="0" borderId="10" xfId="15" applyNumberFormat="1" applyBorder="1" applyAlignment="1">
      <alignment horizontal="left" wrapText="1"/>
    </xf>
    <xf numFmtId="0" fontId="38" fillId="0" borderId="0" xfId="15" applyFont="1"/>
    <xf numFmtId="0" fontId="39" fillId="0" borderId="0" xfId="15" applyFont="1"/>
    <xf numFmtId="0" fontId="40" fillId="0" borderId="0" xfId="15" applyFont="1"/>
    <xf numFmtId="0" fontId="41" fillId="0" borderId="0" xfId="15" applyFont="1"/>
    <xf numFmtId="0" fontId="42" fillId="0" borderId="0" xfId="15" applyFont="1"/>
    <xf numFmtId="0" fontId="41" fillId="0" borderId="0" xfId="15" applyFont="1" applyAlignment="1">
      <alignment horizontal="left"/>
    </xf>
    <xf numFmtId="168" fontId="41" fillId="0" borderId="0" xfId="15" applyNumberFormat="1" applyFont="1" applyAlignment="1">
      <alignment horizontal="left"/>
    </xf>
    <xf numFmtId="0" fontId="43" fillId="0" borderId="0" xfId="2" applyFont="1"/>
    <xf numFmtId="0" fontId="40" fillId="0" borderId="0" xfId="2" applyFont="1"/>
    <xf numFmtId="0" fontId="44" fillId="0" borderId="0" xfId="2" applyFont="1"/>
    <xf numFmtId="0" fontId="34" fillId="0" borderId="0" xfId="15" applyFont="1" applyAlignment="1">
      <alignment horizontal="left" vertical="center" wrapText="1"/>
    </xf>
    <xf numFmtId="0" fontId="40" fillId="0" borderId="0" xfId="15" quotePrefix="1" applyFont="1"/>
    <xf numFmtId="0" fontId="46" fillId="0" borderId="0" xfId="15" applyFont="1"/>
    <xf numFmtId="0" fontId="7" fillId="0" borderId="12" xfId="15" applyBorder="1" applyAlignment="1">
      <alignment horizontal="center"/>
    </xf>
    <xf numFmtId="0" fontId="7" fillId="0" borderId="12" xfId="15" applyBorder="1" applyAlignment="1">
      <alignment horizontal="center" vertical="top" wrapText="1"/>
    </xf>
    <xf numFmtId="0" fontId="46" fillId="0" borderId="0" xfId="19" applyFont="1"/>
    <xf numFmtId="0" fontId="7" fillId="0" borderId="14" xfId="15" applyBorder="1" applyAlignment="1">
      <alignment horizontal="left" wrapText="1"/>
    </xf>
    <xf numFmtId="0" fontId="7" fillId="0" borderId="11" xfId="15" applyBorder="1" applyAlignment="1">
      <alignment horizontal="left" wrapText="1"/>
    </xf>
    <xf numFmtId="0" fontId="7" fillId="0" borderId="17" xfId="15" applyBorder="1" applyAlignment="1">
      <alignment horizontal="left" wrapText="1"/>
    </xf>
    <xf numFmtId="44" fontId="7" fillId="0" borderId="11" xfId="15" applyNumberFormat="1" applyBorder="1"/>
    <xf numFmtId="44" fontId="7" fillId="0" borderId="17" xfId="15" applyNumberFormat="1" applyBorder="1"/>
    <xf numFmtId="44" fontId="7" fillId="0" borderId="10" xfId="15" applyNumberFormat="1" applyBorder="1"/>
    <xf numFmtId="0" fontId="12" fillId="0" borderId="11" xfId="19" applyFont="1" applyBorder="1"/>
    <xf numFmtId="0" fontId="47" fillId="0" borderId="0" xfId="15" applyFont="1"/>
    <xf numFmtId="0" fontId="16" fillId="0" borderId="17" xfId="15" applyFont="1" applyBorder="1" applyAlignment="1">
      <alignment horizontal="left" wrapText="1"/>
    </xf>
    <xf numFmtId="44" fontId="25" fillId="0" borderId="17" xfId="15" applyNumberFormat="1" applyFont="1" applyBorder="1" applyAlignment="1">
      <alignment horizontal="left" wrapText="1"/>
    </xf>
    <xf numFmtId="0" fontId="31" fillId="0" borderId="0" xfId="19" applyFont="1"/>
    <xf numFmtId="49" fontId="11" fillId="0" borderId="0" xfId="19" applyNumberFormat="1" applyFont="1"/>
    <xf numFmtId="43" fontId="40" fillId="0" borderId="0" xfId="7" applyFont="1" applyBorder="1"/>
    <xf numFmtId="43" fontId="40" fillId="0" borderId="0" xfId="2" applyNumberFormat="1" applyFont="1"/>
    <xf numFmtId="0" fontId="40" fillId="0" borderId="0" xfId="2" applyFont="1" applyAlignment="1">
      <alignment wrapText="1"/>
    </xf>
    <xf numFmtId="0" fontId="44" fillId="0" borderId="0" xfId="2" applyFont="1" applyAlignment="1">
      <alignment wrapText="1"/>
    </xf>
    <xf numFmtId="43" fontId="40" fillId="0" borderId="0" xfId="2" applyNumberFormat="1" applyFont="1" applyAlignment="1">
      <alignment wrapText="1"/>
    </xf>
    <xf numFmtId="0" fontId="15" fillId="0" borderId="0" xfId="2" applyFont="1" applyAlignment="1">
      <alignment wrapText="1"/>
    </xf>
    <xf numFmtId="0" fontId="16" fillId="0" borderId="0" xfId="1" applyFont="1" applyAlignment="1">
      <alignment horizontal="center" wrapText="1"/>
    </xf>
    <xf numFmtId="0" fontId="15" fillId="0" borderId="1" xfId="1" applyFont="1" applyBorder="1" applyAlignment="1">
      <alignment wrapText="1"/>
    </xf>
    <xf numFmtId="0" fontId="15" fillId="0" borderId="0" xfId="1" applyFont="1" applyAlignment="1">
      <alignment wrapText="1"/>
    </xf>
    <xf numFmtId="43" fontId="15" fillId="0" borderId="0" xfId="1" applyNumberFormat="1" applyFont="1" applyAlignment="1">
      <alignment wrapText="1"/>
    </xf>
    <xf numFmtId="14" fontId="15" fillId="0" borderId="0" xfId="1" applyNumberFormat="1" applyFont="1" applyAlignment="1">
      <alignment wrapText="1"/>
    </xf>
    <xf numFmtId="43" fontId="15" fillId="0" borderId="16" xfId="1" applyNumberFormat="1" applyFont="1" applyBorder="1" applyAlignment="1">
      <alignment wrapText="1"/>
    </xf>
    <xf numFmtId="43" fontId="16" fillId="0" borderId="2" xfId="1" applyNumberFormat="1" applyFont="1" applyBorder="1" applyAlignment="1">
      <alignment wrapText="1"/>
    </xf>
    <xf numFmtId="43" fontId="19" fillId="0" borderId="3" xfId="1" applyNumberFormat="1" applyFont="1" applyBorder="1" applyAlignment="1">
      <alignment wrapText="1"/>
    </xf>
    <xf numFmtId="0" fontId="16" fillId="0" borderId="0" xfId="1" applyFont="1" applyAlignment="1">
      <alignment horizontal="center" vertical="top" wrapText="1"/>
    </xf>
    <xf numFmtId="0" fontId="16" fillId="0" borderId="0" xfId="1" applyFont="1" applyAlignment="1">
      <alignment wrapText="1"/>
    </xf>
    <xf numFmtId="0" fontId="16" fillId="0" borderId="0" xfId="1" applyFont="1" applyAlignment="1">
      <alignment vertical="top" wrapText="1"/>
    </xf>
    <xf numFmtId="43" fontId="45" fillId="0" borderId="0" xfId="18" applyFont="1" applyFill="1" applyBorder="1"/>
    <xf numFmtId="43" fontId="23" fillId="0" borderId="0" xfId="4" applyFont="1" applyFill="1" applyBorder="1" applyAlignment="1" applyProtection="1">
      <protection locked="0"/>
    </xf>
    <xf numFmtId="43" fontId="49" fillId="0" borderId="0" xfId="18" applyFont="1" applyFill="1" applyBorder="1"/>
    <xf numFmtId="0" fontId="25" fillId="0" borderId="0" xfId="0" applyFont="1"/>
    <xf numFmtId="0" fontId="5" fillId="0" borderId="0" xfId="0" applyFont="1"/>
    <xf numFmtId="0" fontId="54" fillId="0" borderId="0" xfId="0" applyFont="1"/>
    <xf numFmtId="0" fontId="49" fillId="0" borderId="0" xfId="0" applyFont="1"/>
    <xf numFmtId="166" fontId="25" fillId="2" borderId="12" xfId="0" applyNumberFormat="1" applyFont="1" applyFill="1" applyBorder="1"/>
    <xf numFmtId="0" fontId="34" fillId="2" borderId="0" xfId="0" applyFont="1" applyFill="1"/>
    <xf numFmtId="0" fontId="25" fillId="2" borderId="12" xfId="0" applyFont="1" applyFill="1" applyBorder="1"/>
    <xf numFmtId="0" fontId="49" fillId="0" borderId="0" xfId="1" applyFont="1" applyAlignment="1">
      <alignment horizontal="center"/>
    </xf>
    <xf numFmtId="0" fontId="21" fillId="0" borderId="0" xfId="1" applyFont="1"/>
    <xf numFmtId="0" fontId="9" fillId="0" borderId="0" xfId="1"/>
    <xf numFmtId="0" fontId="23" fillId="0" borderId="0" xfId="1" applyFont="1" applyAlignment="1">
      <alignment horizontal="center"/>
    </xf>
    <xf numFmtId="173" fontId="23" fillId="0" borderId="0" xfId="4" applyNumberFormat="1" applyFont="1" applyBorder="1" applyAlignment="1">
      <alignment horizontal="center"/>
    </xf>
    <xf numFmtId="173" fontId="23" fillId="2" borderId="11" xfId="4" applyNumberFormat="1" applyFont="1" applyFill="1" applyBorder="1" applyAlignment="1">
      <alignment horizontal="center"/>
    </xf>
    <xf numFmtId="173" fontId="23" fillId="2" borderId="0" xfId="4" applyNumberFormat="1" applyFont="1" applyFill="1" applyBorder="1" applyAlignment="1">
      <alignment horizontal="center"/>
    </xf>
    <xf numFmtId="173" fontId="23" fillId="0" borderId="29" xfId="4" applyNumberFormat="1" applyFont="1" applyBorder="1" applyAlignment="1">
      <alignment horizontal="center"/>
    </xf>
    <xf numFmtId="173" fontId="23" fillId="2" borderId="30" xfId="4" applyNumberFormat="1" applyFont="1" applyFill="1" applyBorder="1" applyAlignment="1">
      <alignment horizontal="center"/>
    </xf>
    <xf numFmtId="173" fontId="23" fillId="2" borderId="29" xfId="4" applyNumberFormat="1" applyFont="1" applyFill="1" applyBorder="1" applyAlignment="1">
      <alignment horizontal="center"/>
    </xf>
    <xf numFmtId="17" fontId="23" fillId="2" borderId="0" xfId="1" applyNumberFormat="1" applyFont="1" applyFill="1"/>
    <xf numFmtId="44" fontId="21" fillId="0" borderId="0" xfId="5" applyFont="1"/>
    <xf numFmtId="44" fontId="9" fillId="2" borderId="11" xfId="5" applyFont="1" applyFill="1" applyBorder="1"/>
    <xf numFmtId="44" fontId="21" fillId="0" borderId="0" xfId="5" applyFont="1" applyFill="1"/>
    <xf numFmtId="44" fontId="23" fillId="2" borderId="0" xfId="5" applyFont="1" applyFill="1"/>
    <xf numFmtId="0" fontId="57" fillId="0" borderId="0" xfId="35" applyFill="1"/>
    <xf numFmtId="17" fontId="58" fillId="0" borderId="0" xfId="1" applyNumberFormat="1" applyFont="1"/>
    <xf numFmtId="44" fontId="58" fillId="0" borderId="0" xfId="5" applyFont="1" applyFill="1"/>
    <xf numFmtId="44" fontId="58" fillId="0" borderId="11" xfId="5" applyFont="1" applyFill="1" applyBorder="1"/>
    <xf numFmtId="44" fontId="59" fillId="0" borderId="0" xfId="5" applyFont="1" applyFill="1"/>
    <xf numFmtId="17" fontId="23" fillId="0" borderId="0" xfId="1" applyNumberFormat="1" applyFont="1"/>
    <xf numFmtId="44" fontId="21" fillId="2" borderId="11" xfId="5" applyFont="1" applyFill="1" applyBorder="1"/>
    <xf numFmtId="0" fontId="57" fillId="0" borderId="0" xfId="35"/>
    <xf numFmtId="173" fontId="23" fillId="0" borderId="0" xfId="4" applyNumberFormat="1" applyFont="1" applyFill="1"/>
    <xf numFmtId="43" fontId="21" fillId="0" borderId="0" xfId="4" applyFont="1"/>
    <xf numFmtId="0" fontId="57" fillId="0" borderId="0" xfId="35" applyAlignment="1">
      <alignment vertical="center"/>
    </xf>
    <xf numFmtId="43" fontId="9" fillId="0" borderId="0" xfId="4" applyFont="1" applyProtection="1"/>
    <xf numFmtId="44" fontId="49" fillId="0" borderId="3" xfId="36" applyFont="1" applyBorder="1"/>
    <xf numFmtId="44" fontId="49" fillId="2" borderId="17" xfId="36" applyFont="1" applyFill="1" applyBorder="1"/>
    <xf numFmtId="44" fontId="23" fillId="2" borderId="3" xfId="36" applyFont="1" applyFill="1" applyBorder="1"/>
    <xf numFmtId="44" fontId="49" fillId="0" borderId="0" xfId="36" applyFont="1" applyFill="1" applyBorder="1"/>
    <xf numFmtId="44" fontId="23" fillId="0" borderId="0" xfId="36" applyFont="1" applyFill="1" applyBorder="1"/>
    <xf numFmtId="0" fontId="21" fillId="0" borderId="0" xfId="37" applyFont="1"/>
    <xf numFmtId="43" fontId="21" fillId="0" borderId="0" xfId="37" applyNumberFormat="1" applyFont="1"/>
    <xf numFmtId="0" fontId="9" fillId="0" borderId="0" xfId="37"/>
    <xf numFmtId="44" fontId="23" fillId="5" borderId="0" xfId="37" applyNumberFormat="1" applyFont="1" applyFill="1"/>
    <xf numFmtId="0" fontId="49" fillId="9" borderId="0" xfId="0" applyFont="1" applyFill="1"/>
    <xf numFmtId="165" fontId="60" fillId="0" borderId="0" xfId="39" applyFont="1" applyFill="1"/>
    <xf numFmtId="0" fontId="61" fillId="0" borderId="0" xfId="0" applyFont="1"/>
    <xf numFmtId="0" fontId="62" fillId="0" borderId="0" xfId="40" applyFont="1" applyAlignment="1"/>
    <xf numFmtId="0" fontId="49" fillId="0" borderId="0" xfId="38" applyFont="1"/>
    <xf numFmtId="0" fontId="57" fillId="0" borderId="0" xfId="17" applyFont="1"/>
    <xf numFmtId="14" fontId="49" fillId="0" borderId="0" xfId="0" applyNumberFormat="1" applyFont="1" applyAlignment="1">
      <alignment horizontal="center"/>
    </xf>
    <xf numFmtId="14" fontId="63" fillId="0" borderId="0" xfId="0" applyNumberFormat="1" applyFont="1"/>
    <xf numFmtId="14" fontId="63" fillId="0" borderId="0" xfId="0" applyNumberFormat="1" applyFont="1" applyAlignment="1">
      <alignment horizontal="center"/>
    </xf>
    <xf numFmtId="167" fontId="60" fillId="0" borderId="0" xfId="39" applyNumberFormat="1" applyFont="1"/>
    <xf numFmtId="0" fontId="60" fillId="0" borderId="0" xfId="0" applyFont="1"/>
    <xf numFmtId="0" fontId="49" fillId="0" borderId="0" xfId="0" applyFont="1" applyAlignment="1">
      <alignment horizontal="center"/>
    </xf>
    <xf numFmtId="10" fontId="63" fillId="0" borderId="3" xfId="41" applyNumberFormat="1" applyFont="1" applyFill="1" applyBorder="1"/>
    <xf numFmtId="44" fontId="61" fillId="0" borderId="0" xfId="0" applyNumberFormat="1" applyFont="1"/>
    <xf numFmtId="10" fontId="63" fillId="0" borderId="0" xfId="41" applyNumberFormat="1" applyFont="1" applyFill="1" applyBorder="1"/>
    <xf numFmtId="0" fontId="64" fillId="0" borderId="0" xfId="0" applyFont="1" applyAlignment="1">
      <alignment horizontal="left" vertical="center" wrapText="1"/>
    </xf>
    <xf numFmtId="164" fontId="61" fillId="0" borderId="0" xfId="42" applyFont="1"/>
    <xf numFmtId="0" fontId="63" fillId="0" borderId="0" xfId="0" applyFont="1"/>
    <xf numFmtId="164" fontId="49" fillId="9" borderId="31" xfId="42" applyFont="1" applyFill="1" applyBorder="1"/>
    <xf numFmtId="44" fontId="63" fillId="0" borderId="0" xfId="0" applyNumberFormat="1" applyFont="1"/>
    <xf numFmtId="0" fontId="64" fillId="0" borderId="0" xfId="0" applyFont="1"/>
    <xf numFmtId="164" fontId="63" fillId="0" borderId="0" xfId="42" applyFont="1"/>
    <xf numFmtId="44" fontId="63" fillId="0" borderId="0" xfId="13" applyFont="1" applyBorder="1"/>
    <xf numFmtId="44" fontId="63" fillId="0" borderId="0" xfId="13" applyFont="1" applyFill="1" applyBorder="1"/>
    <xf numFmtId="44" fontId="61" fillId="0" borderId="0" xfId="13" applyFont="1" applyFill="1" applyBorder="1"/>
    <xf numFmtId="44" fontId="61" fillId="0" borderId="0" xfId="13" applyFont="1" applyFill="1" applyAlignment="1">
      <alignment horizontal="left"/>
    </xf>
    <xf numFmtId="0" fontId="57" fillId="0" borderId="0" xfId="17" applyFont="1" applyFill="1"/>
    <xf numFmtId="44" fontId="63" fillId="0" borderId="0" xfId="13" applyFont="1" applyFill="1" applyAlignment="1">
      <alignment horizontal="left"/>
    </xf>
    <xf numFmtId="44" fontId="61" fillId="0" borderId="0" xfId="13" applyFont="1" applyAlignment="1">
      <alignment horizontal="left"/>
    </xf>
    <xf numFmtId="0" fontId="57" fillId="0" borderId="0" xfId="17" quotePrefix="1" applyFont="1"/>
    <xf numFmtId="165" fontId="61" fillId="0" borderId="0" xfId="29" applyFont="1"/>
    <xf numFmtId="44" fontId="65" fillId="0" borderId="0" xfId="0" applyNumberFormat="1" applyFont="1"/>
    <xf numFmtId="10" fontId="49" fillId="0" borderId="0" xfId="0" applyNumberFormat="1" applyFont="1" applyAlignment="1">
      <alignment horizontal="center"/>
    </xf>
    <xf numFmtId="10" fontId="63" fillId="0" borderId="0" xfId="0" applyNumberFormat="1" applyFont="1" applyAlignment="1">
      <alignment horizontal="center"/>
    </xf>
    <xf numFmtId="9" fontId="63" fillId="0" borderId="0" xfId="41" applyFont="1" applyFill="1" applyAlignment="1">
      <alignment horizontal="center"/>
    </xf>
    <xf numFmtId="0" fontId="63" fillId="8" borderId="0" xfId="0" applyFont="1" applyFill="1"/>
    <xf numFmtId="9" fontId="60" fillId="0" borderId="0" xfId="0" applyNumberFormat="1" applyFont="1"/>
    <xf numFmtId="0" fontId="60" fillId="0" borderId="0" xfId="0" applyFont="1" applyAlignment="1">
      <alignment horizontal="center"/>
    </xf>
    <xf numFmtId="0" fontId="23" fillId="0" borderId="0" xfId="22" applyFont="1"/>
    <xf numFmtId="4" fontId="23" fillId="0" borderId="0" xfId="22" applyNumberFormat="1" applyFont="1" applyAlignment="1">
      <alignment horizontal="right"/>
    </xf>
    <xf numFmtId="14" fontId="49" fillId="0" borderId="0" xfId="43" applyNumberFormat="1" applyFont="1" applyAlignment="1">
      <alignment horizontal="center"/>
    </xf>
    <xf numFmtId="15" fontId="23" fillId="0" borderId="0" xfId="22" applyNumberFormat="1" applyFont="1"/>
    <xf numFmtId="0" fontId="49" fillId="0" borderId="0" xfId="43" applyFont="1" applyAlignment="1">
      <alignment horizontal="center"/>
    </xf>
    <xf numFmtId="0" fontId="24" fillId="0" borderId="0" xfId="22" applyFont="1"/>
    <xf numFmtId="4" fontId="24" fillId="0" borderId="0" xfId="22" applyNumberFormat="1" applyFont="1"/>
    <xf numFmtId="0" fontId="23" fillId="0" borderId="36" xfId="22" applyFont="1" applyBorder="1"/>
    <xf numFmtId="0" fontId="23" fillId="0" borderId="32" xfId="22" applyFont="1" applyBorder="1" applyAlignment="1">
      <alignment horizontal="center" vertical="center"/>
    </xf>
    <xf numFmtId="0" fontId="23" fillId="0" borderId="36" xfId="22" applyFont="1" applyBorder="1" applyAlignment="1">
      <alignment horizontal="center" vertical="center"/>
    </xf>
    <xf numFmtId="0" fontId="23" fillId="0" borderId="36" xfId="22" applyFont="1" applyBorder="1" applyAlignment="1">
      <alignment horizontal="center" vertical="center" wrapText="1"/>
    </xf>
    <xf numFmtId="0" fontId="23" fillId="0" borderId="0" xfId="22" applyFont="1" applyAlignment="1">
      <alignment horizontal="center" vertical="center"/>
    </xf>
    <xf numFmtId="0" fontId="49" fillId="0" borderId="0" xfId="43" applyFont="1" applyAlignment="1">
      <alignment horizontal="center" vertical="center"/>
    </xf>
    <xf numFmtId="0" fontId="23" fillId="0" borderId="37" xfId="22" applyFont="1" applyBorder="1"/>
    <xf numFmtId="4" fontId="23" fillId="0" borderId="38" xfId="22" applyNumberFormat="1" applyFont="1" applyBorder="1"/>
    <xf numFmtId="44" fontId="23" fillId="0" borderId="40" xfId="44" applyFont="1" applyBorder="1"/>
    <xf numFmtId="44" fontId="9" fillId="0" borderId="40" xfId="44" applyFont="1" applyBorder="1"/>
    <xf numFmtId="44" fontId="9" fillId="0" borderId="39" xfId="44" applyFont="1" applyBorder="1"/>
    <xf numFmtId="44" fontId="23" fillId="0" borderId="42" xfId="44" applyFont="1" applyBorder="1"/>
    <xf numFmtId="44" fontId="9" fillId="0" borderId="42" xfId="44" applyFont="1" applyBorder="1"/>
    <xf numFmtId="44" fontId="9" fillId="0" borderId="41" xfId="44" applyFont="1" applyBorder="1"/>
    <xf numFmtId="44" fontId="23" fillId="0" borderId="45" xfId="44" applyFont="1" applyBorder="1"/>
    <xf numFmtId="44" fontId="9" fillId="0" borderId="45" xfId="44" applyFont="1" applyBorder="1"/>
    <xf numFmtId="44" fontId="9" fillId="0" borderId="37" xfId="44" applyFont="1" applyBorder="1"/>
    <xf numFmtId="0" fontId="23" fillId="0" borderId="39" xfId="22" applyFont="1" applyBorder="1"/>
    <xf numFmtId="44" fontId="57" fillId="0" borderId="39" xfId="17" applyNumberFormat="1" applyFont="1" applyBorder="1"/>
    <xf numFmtId="44" fontId="23" fillId="0" borderId="40" xfId="44" applyFont="1" applyFill="1" applyBorder="1"/>
    <xf numFmtId="44" fontId="9" fillId="0" borderId="40" xfId="44" applyFont="1" applyFill="1" applyBorder="1"/>
    <xf numFmtId="44" fontId="57" fillId="0" borderId="39" xfId="17" applyNumberFormat="1" applyFont="1" applyFill="1" applyBorder="1"/>
    <xf numFmtId="0" fontId="57" fillId="0" borderId="46" xfId="17" applyFont="1" applyBorder="1"/>
    <xf numFmtId="0" fontId="66" fillId="0" borderId="0" xfId="43" applyFont="1"/>
    <xf numFmtId="165" fontId="9" fillId="0" borderId="0" xfId="46" applyFont="1"/>
    <xf numFmtId="44" fontId="9" fillId="0" borderId="39" xfId="44" applyFont="1" applyBorder="1" applyAlignment="1">
      <alignment wrapText="1"/>
    </xf>
    <xf numFmtId="0" fontId="23" fillId="0" borderId="46" xfId="22" applyFont="1" applyBorder="1"/>
    <xf numFmtId="44" fontId="9" fillId="0" borderId="28" xfId="44" applyFont="1" applyBorder="1"/>
    <xf numFmtId="44" fontId="9" fillId="0" borderId="46" xfId="44" applyFont="1" applyBorder="1"/>
    <xf numFmtId="44" fontId="9" fillId="0" borderId="0" xfId="44" applyFont="1"/>
    <xf numFmtId="44" fontId="23" fillId="0" borderId="0" xfId="44" applyFont="1"/>
    <xf numFmtId="44" fontId="49" fillId="0" borderId="0" xfId="47" applyFont="1"/>
    <xf numFmtId="165" fontId="23" fillId="0" borderId="0" xfId="46" applyFont="1"/>
    <xf numFmtId="43" fontId="49" fillId="0" borderId="0" xfId="48" applyFont="1"/>
    <xf numFmtId="0" fontId="49" fillId="0" borderId="0" xfId="43" applyFont="1"/>
    <xf numFmtId="0" fontId="62" fillId="0" borderId="0" xfId="17" applyFont="1"/>
    <xf numFmtId="0" fontId="7" fillId="0" borderId="12" xfId="15" applyBorder="1" applyAlignment="1">
      <alignment horizontal="center" vertical="center"/>
    </xf>
    <xf numFmtId="0" fontId="1" fillId="0" borderId="12" xfId="15" applyFont="1" applyBorder="1" applyAlignment="1">
      <alignment horizontal="left" wrapText="1"/>
    </xf>
    <xf numFmtId="0" fontId="1" fillId="0" borderId="0" xfId="15" applyFont="1"/>
    <xf numFmtId="0" fontId="1" fillId="0" borderId="12" xfId="15" applyFont="1" applyBorder="1" applyAlignment="1">
      <alignment horizontal="center" vertical="center"/>
    </xf>
    <xf numFmtId="0" fontId="1" fillId="0" borderId="12" xfId="15" applyFont="1" applyBorder="1"/>
    <xf numFmtId="0" fontId="1" fillId="0" borderId="12" xfId="15" applyFont="1" applyBorder="1" applyAlignment="1">
      <alignment wrapText="1"/>
    </xf>
    <xf numFmtId="0" fontId="1" fillId="0" borderId="0" xfId="0" applyFont="1"/>
    <xf numFmtId="0" fontId="1" fillId="0" borderId="12" xfId="0" applyFont="1" applyBorder="1"/>
    <xf numFmtId="166" fontId="1" fillId="0" borderId="12" xfId="0" applyNumberFormat="1" applyFont="1" applyBorder="1"/>
    <xf numFmtId="166" fontId="1" fillId="2" borderId="12" xfId="0" applyNumberFormat="1" applyFont="1" applyFill="1" applyBorder="1"/>
    <xf numFmtId="0" fontId="1" fillId="2" borderId="0" xfId="0" applyFont="1" applyFill="1"/>
    <xf numFmtId="0" fontId="1" fillId="2" borderId="12" xfId="0" applyFont="1" applyFill="1" applyBorder="1"/>
    <xf numFmtId="2" fontId="1" fillId="0" borderId="0" xfId="5" applyNumberFormat="1" applyFont="1"/>
    <xf numFmtId="0" fontId="70" fillId="0" borderId="0" xfId="15" applyFont="1" applyAlignment="1">
      <alignment horizontal="left"/>
    </xf>
    <xf numFmtId="0" fontId="67" fillId="0" borderId="0" xfId="15" applyFont="1"/>
    <xf numFmtId="0" fontId="70" fillId="0" borderId="0" xfId="15" applyFont="1"/>
    <xf numFmtId="168" fontId="70" fillId="0" borderId="0" xfId="15" applyNumberFormat="1" applyFont="1" applyAlignment="1">
      <alignment horizontal="left"/>
    </xf>
    <xf numFmtId="0" fontId="45" fillId="0" borderId="0" xfId="15" applyFont="1"/>
    <xf numFmtId="0" fontId="72" fillId="3" borderId="0" xfId="15" applyFont="1" applyFill="1" applyAlignment="1">
      <alignment horizontal="center" vertical="center"/>
    </xf>
    <xf numFmtId="0" fontId="45" fillId="0" borderId="0" xfId="15" applyFont="1" applyAlignment="1">
      <alignment horizontal="center"/>
    </xf>
    <xf numFmtId="0" fontId="73" fillId="0" borderId="0" xfId="15" applyFont="1" applyAlignment="1">
      <alignment horizontal="left"/>
    </xf>
    <xf numFmtId="0" fontId="73" fillId="0" borderId="0" xfId="15" applyFont="1"/>
    <xf numFmtId="0" fontId="45" fillId="0" borderId="0" xfId="15" applyFont="1" applyAlignment="1">
      <alignment horizontal="left"/>
    </xf>
    <xf numFmtId="0" fontId="21" fillId="0" borderId="0" xfId="15" applyFont="1"/>
    <xf numFmtId="0" fontId="21" fillId="0" borderId="0" xfId="15" applyFont="1" applyAlignment="1">
      <alignment horizontal="center"/>
    </xf>
    <xf numFmtId="0" fontId="72" fillId="0" borderId="0" xfId="15" applyFont="1" applyAlignment="1">
      <alignment horizontal="center"/>
    </xf>
    <xf numFmtId="0" fontId="62" fillId="0" borderId="0" xfId="17" applyFont="1" applyFill="1"/>
    <xf numFmtId="0" fontId="72" fillId="0" borderId="0" xfId="15" applyFont="1"/>
    <xf numFmtId="0" fontId="73" fillId="0" borderId="0" xfId="15" applyFont="1" applyAlignment="1">
      <alignment horizontal="center"/>
    </xf>
    <xf numFmtId="0" fontId="73" fillId="0" borderId="4" xfId="15" applyFont="1" applyBorder="1" applyAlignment="1">
      <alignment vertical="center"/>
    </xf>
    <xf numFmtId="0" fontId="74" fillId="0" borderId="0" xfId="15" applyFont="1" applyAlignment="1">
      <alignment vertical="center"/>
    </xf>
    <xf numFmtId="0" fontId="72" fillId="0" borderId="0" xfId="15" applyFont="1" applyAlignment="1">
      <alignment vertical="center"/>
    </xf>
    <xf numFmtId="0" fontId="72" fillId="0" borderId="9" xfId="15" applyFont="1" applyBorder="1" applyAlignment="1">
      <alignment horizontal="center"/>
    </xf>
    <xf numFmtId="0" fontId="73" fillId="0" borderId="4" xfId="15" applyFont="1" applyBorder="1" applyAlignment="1">
      <alignment horizontal="left" vertical="center"/>
    </xf>
    <xf numFmtId="0" fontId="21" fillId="0" borderId="0" xfId="15" applyFont="1" applyAlignment="1">
      <alignment vertical="center"/>
    </xf>
    <xf numFmtId="44" fontId="21" fillId="0" borderId="0" xfId="13" applyFont="1" applyFill="1" applyBorder="1" applyAlignment="1">
      <alignment horizontal="left" vertical="center"/>
    </xf>
    <xf numFmtId="166" fontId="57" fillId="0" borderId="0" xfId="17" applyNumberFormat="1" applyFont="1" applyFill="1" applyBorder="1"/>
    <xf numFmtId="0" fontId="75" fillId="0" borderId="0" xfId="15" applyFont="1"/>
    <xf numFmtId="0" fontId="75" fillId="0" borderId="9" xfId="15" applyFont="1" applyBorder="1" applyAlignment="1">
      <alignment horizontal="center"/>
    </xf>
    <xf numFmtId="166" fontId="21" fillId="0" borderId="0" xfId="18" applyNumberFormat="1" applyFont="1" applyFill="1" applyBorder="1"/>
    <xf numFmtId="44" fontId="21" fillId="2" borderId="0" xfId="13" applyFont="1" applyFill="1" applyBorder="1" applyAlignment="1">
      <alignment horizontal="left" vertical="center"/>
    </xf>
    <xf numFmtId="44" fontId="9" fillId="2" borderId="0" xfId="13" applyFont="1" applyFill="1" applyBorder="1" applyAlignment="1">
      <alignment horizontal="left" vertical="center"/>
    </xf>
    <xf numFmtId="44" fontId="21" fillId="2" borderId="0" xfId="13" applyFont="1" applyFill="1" applyAlignment="1">
      <alignment horizontal="left" vertical="center"/>
    </xf>
    <xf numFmtId="166" fontId="21" fillId="0" borderId="0" xfId="15" applyNumberFormat="1" applyFont="1"/>
    <xf numFmtId="0" fontId="76" fillId="0" borderId="0" xfId="15" quotePrefix="1" applyFont="1"/>
    <xf numFmtId="0" fontId="45" fillId="0" borderId="4" xfId="15" applyFont="1" applyBorder="1" applyAlignment="1">
      <alignment vertical="center"/>
    </xf>
    <xf numFmtId="0" fontId="73" fillId="0" borderId="0" xfId="15" applyFont="1" applyAlignment="1">
      <alignment vertical="center"/>
    </xf>
    <xf numFmtId="0" fontId="45" fillId="0" borderId="0" xfId="15" applyFont="1" applyAlignment="1">
      <alignment vertical="center"/>
    </xf>
    <xf numFmtId="44" fontId="45" fillId="0" borderId="0" xfId="13" applyFont="1" applyBorder="1" applyAlignment="1">
      <alignment horizontal="left" vertical="center"/>
    </xf>
    <xf numFmtId="44" fontId="73" fillId="0" borderId="3" xfId="13" applyFont="1" applyBorder="1" applyAlignment="1">
      <alignment horizontal="left" vertical="center"/>
    </xf>
    <xf numFmtId="166" fontId="73" fillId="0" borderId="0" xfId="18" applyNumberFormat="1" applyFont="1" applyFill="1" applyBorder="1"/>
    <xf numFmtId="0" fontId="77" fillId="0" borderId="0" xfId="15" applyFont="1"/>
    <xf numFmtId="0" fontId="77" fillId="0" borderId="9" xfId="15" applyFont="1" applyBorder="1" applyAlignment="1">
      <alignment horizontal="center"/>
    </xf>
    <xf numFmtId="0" fontId="9" fillId="0" borderId="0" xfId="15" applyFont="1" applyAlignment="1">
      <alignment vertical="center"/>
    </xf>
    <xf numFmtId="44" fontId="21" fillId="0" borderId="0" xfId="13" applyFont="1" applyBorder="1" applyAlignment="1">
      <alignment horizontal="left" vertical="center"/>
    </xf>
    <xf numFmtId="166" fontId="57" fillId="0" borderId="0" xfId="17" quotePrefix="1" applyNumberFormat="1" applyFont="1" applyFill="1" applyBorder="1"/>
    <xf numFmtId="44" fontId="45" fillId="0" borderId="0" xfId="13" applyFont="1" applyAlignment="1">
      <alignment horizontal="left" vertical="center"/>
    </xf>
    <xf numFmtId="43" fontId="73" fillId="0" borderId="0" xfId="18" applyFont="1" applyFill="1" applyBorder="1"/>
    <xf numFmtId="44" fontId="77" fillId="0" borderId="0" xfId="15" applyNumberFormat="1" applyFont="1"/>
    <xf numFmtId="43" fontId="21" fillId="0" borderId="0" xfId="18" applyFont="1" applyFill="1" applyBorder="1"/>
    <xf numFmtId="0" fontId="49" fillId="0" borderId="0" xfId="15" applyFont="1" applyAlignment="1">
      <alignment vertical="center"/>
    </xf>
    <xf numFmtId="44" fontId="49" fillId="0" borderId="3" xfId="13" applyFont="1" applyBorder="1" applyAlignment="1">
      <alignment horizontal="left" vertical="center"/>
    </xf>
    <xf numFmtId="44" fontId="23" fillId="4" borderId="18" xfId="13" applyFont="1" applyFill="1" applyBorder="1" applyAlignment="1" applyProtection="1">
      <alignment horizontal="left" vertical="center"/>
      <protection locked="0"/>
    </xf>
    <xf numFmtId="44" fontId="21" fillId="2" borderId="1" xfId="13" applyFont="1" applyFill="1" applyBorder="1" applyAlignment="1">
      <alignment horizontal="left" vertical="center"/>
    </xf>
    <xf numFmtId="44" fontId="49" fillId="0" borderId="0" xfId="13" applyFont="1" applyBorder="1" applyAlignment="1">
      <alignment horizontal="left" vertical="center"/>
    </xf>
    <xf numFmtId="44" fontId="21" fillId="0" borderId="2" xfId="13" applyFont="1" applyBorder="1" applyAlignment="1">
      <alignment horizontal="left" vertical="center"/>
    </xf>
    <xf numFmtId="44" fontId="49" fillId="0" borderId="3" xfId="13" applyFont="1" applyFill="1" applyBorder="1" applyAlignment="1">
      <alignment horizontal="left" vertical="center"/>
    </xf>
    <xf numFmtId="43" fontId="21" fillId="0" borderId="0" xfId="18" applyFont="1" applyBorder="1" applyAlignment="1">
      <alignment vertical="center"/>
    </xf>
    <xf numFmtId="0" fontId="75" fillId="0" borderId="0" xfId="15" applyFont="1" applyAlignment="1">
      <alignment vertical="center"/>
    </xf>
    <xf numFmtId="43" fontId="75" fillId="0" borderId="0" xfId="18" applyFont="1" applyBorder="1" applyAlignment="1">
      <alignment vertical="center"/>
    </xf>
    <xf numFmtId="0" fontId="79" fillId="0" borderId="0" xfId="0" applyFont="1"/>
    <xf numFmtId="0" fontId="21" fillId="0" borderId="9" xfId="15" applyFont="1" applyBorder="1" applyAlignment="1">
      <alignment horizontal="center"/>
    </xf>
    <xf numFmtId="43" fontId="45" fillId="0" borderId="0" xfId="18" applyFont="1" applyBorder="1" applyAlignment="1">
      <alignment vertical="center"/>
    </xf>
    <xf numFmtId="0" fontId="45" fillId="0" borderId="9" xfId="15" applyFont="1" applyBorder="1" applyAlignment="1">
      <alignment horizontal="center"/>
    </xf>
    <xf numFmtId="43" fontId="21" fillId="0" borderId="0" xfId="18" applyFont="1" applyFill="1" applyBorder="1" applyAlignment="1">
      <alignment vertical="center"/>
    </xf>
    <xf numFmtId="0" fontId="21" fillId="0" borderId="0" xfId="15" quotePrefix="1" applyFont="1" applyAlignment="1">
      <alignment vertical="center"/>
    </xf>
    <xf numFmtId="43" fontId="21" fillId="0" borderId="0" xfId="15" applyNumberFormat="1" applyFont="1" applyAlignment="1">
      <alignment vertical="center"/>
    </xf>
    <xf numFmtId="43" fontId="21" fillId="0" borderId="0" xfId="15" applyNumberFormat="1" applyFont="1"/>
    <xf numFmtId="0" fontId="49" fillId="0" borderId="0" xfId="15" applyFont="1" applyAlignment="1">
      <alignment horizontal="center" vertical="center"/>
    </xf>
    <xf numFmtId="0" fontId="49" fillId="0" borderId="0" xfId="15" applyFont="1" applyAlignment="1">
      <alignment horizontal="center"/>
    </xf>
    <xf numFmtId="0" fontId="21" fillId="6" borderId="0" xfId="0" applyFont="1" applyFill="1" applyAlignment="1" applyProtection="1">
      <alignment horizontal="center" vertical="center"/>
      <protection locked="0"/>
    </xf>
    <xf numFmtId="0" fontId="21" fillId="6" borderId="0" xfId="15" applyFont="1" applyFill="1" applyAlignment="1">
      <alignment vertical="center"/>
    </xf>
    <xf numFmtId="0" fontId="45" fillId="0" borderId="6" xfId="15" applyFont="1" applyBorder="1" applyAlignment="1">
      <alignment vertical="center"/>
    </xf>
    <xf numFmtId="0" fontId="21" fillId="0" borderId="1" xfId="15" applyFont="1" applyBorder="1" applyAlignment="1">
      <alignment vertical="center"/>
    </xf>
    <xf numFmtId="0" fontId="21" fillId="0" borderId="1" xfId="15" applyFont="1" applyBorder="1"/>
    <xf numFmtId="0" fontId="21" fillId="0" borderId="7" xfId="15" applyFont="1" applyBorder="1" applyAlignment="1">
      <alignment horizontal="center"/>
    </xf>
    <xf numFmtId="9" fontId="21" fillId="0" borderId="0" xfId="14" applyFont="1" applyBorder="1" applyAlignment="1">
      <alignment horizontal="center" vertical="center"/>
    </xf>
    <xf numFmtId="0" fontId="23" fillId="0" borderId="0" xfId="19" applyFont="1"/>
    <xf numFmtId="0" fontId="23" fillId="0" borderId="0" xfId="20" applyFont="1" applyAlignment="1">
      <alignment horizontal="left"/>
    </xf>
    <xf numFmtId="43" fontId="9" fillId="0" borderId="0" xfId="21" applyFont="1"/>
    <xf numFmtId="44" fontId="23" fillId="0" borderId="0" xfId="19" applyNumberFormat="1" applyFont="1"/>
    <xf numFmtId="0" fontId="81" fillId="0" borderId="0" xfId="19" applyFont="1" applyAlignment="1">
      <alignment horizontal="left"/>
    </xf>
    <xf numFmtId="0" fontId="23" fillId="0" borderId="0" xfId="22" applyFont="1" applyAlignment="1">
      <alignment horizontal="center"/>
    </xf>
    <xf numFmtId="0" fontId="82" fillId="0" borderId="2" xfId="22" applyFont="1" applyBorder="1" applyAlignment="1">
      <alignment horizontal="right"/>
    </xf>
    <xf numFmtId="9" fontId="66" fillId="0" borderId="2" xfId="14" applyFont="1" applyBorder="1" applyAlignment="1">
      <alignment horizontal="center"/>
    </xf>
    <xf numFmtId="0" fontId="83" fillId="0" borderId="4" xfId="22" applyFont="1" applyBorder="1"/>
    <xf numFmtId="44" fontId="21" fillId="0" borderId="0" xfId="5" applyFont="1" applyBorder="1"/>
    <xf numFmtId="44" fontId="21" fillId="0" borderId="0" xfId="5" applyFont="1" applyFill="1" applyBorder="1"/>
    <xf numFmtId="44" fontId="21" fillId="0" borderId="1" xfId="5" applyFont="1" applyFill="1" applyBorder="1"/>
    <xf numFmtId="0" fontId="57" fillId="0" borderId="0" xfId="17" applyFont="1" applyAlignment="1"/>
    <xf numFmtId="44" fontId="21" fillId="0" borderId="1" xfId="5" applyFont="1" applyBorder="1"/>
    <xf numFmtId="44" fontId="21" fillId="0" borderId="2" xfId="5" applyFont="1" applyBorder="1"/>
    <xf numFmtId="44" fontId="9" fillId="0" borderId="0" xfId="5" applyFont="1"/>
    <xf numFmtId="44" fontId="23" fillId="0" borderId="3" xfId="5" applyFont="1" applyBorder="1"/>
    <xf numFmtId="165" fontId="9" fillId="0" borderId="0" xfId="23" applyFont="1"/>
    <xf numFmtId="0" fontId="71" fillId="0" borderId="0" xfId="19" applyFont="1"/>
    <xf numFmtId="43" fontId="67" fillId="0" borderId="0" xfId="2" applyNumberFormat="1" applyFont="1"/>
    <xf numFmtId="0" fontId="67" fillId="0" borderId="0" xfId="2" applyFont="1"/>
    <xf numFmtId="0" fontId="0" fillId="0" borderId="0" xfId="0" applyAlignment="1">
      <alignment horizontal="center"/>
    </xf>
    <xf numFmtId="0" fontId="0" fillId="0" borderId="12" xfId="0" applyBorder="1"/>
    <xf numFmtId="0" fontId="9" fillId="0" borderId="0" xfId="0" applyFont="1"/>
    <xf numFmtId="0" fontId="9" fillId="0" borderId="0" xfId="0" applyFont="1" applyAlignment="1">
      <alignment wrapText="1"/>
    </xf>
    <xf numFmtId="0" fontId="75" fillId="0" borderId="0" xfId="0" applyFont="1" applyAlignment="1">
      <alignment horizontal="left"/>
    </xf>
    <xf numFmtId="166" fontId="49" fillId="0" borderId="0" xfId="0" applyNumberFormat="1" applyFont="1"/>
    <xf numFmtId="0" fontId="49" fillId="9" borderId="12" xfId="0" applyFont="1" applyFill="1" applyBorder="1"/>
    <xf numFmtId="166" fontId="0" fillId="0" borderId="12" xfId="0" applyNumberFormat="1" applyBorder="1"/>
    <xf numFmtId="2" fontId="0" fillId="0" borderId="12" xfId="0" applyNumberFormat="1" applyBorder="1"/>
    <xf numFmtId="0" fontId="49" fillId="0" borderId="12" xfId="0" applyFont="1" applyBorder="1"/>
    <xf numFmtId="166" fontId="49" fillId="0" borderId="12" xfId="0" applyNumberFormat="1" applyFont="1" applyBorder="1"/>
    <xf numFmtId="166" fontId="0" fillId="0" borderId="0" xfId="0" applyNumberFormat="1"/>
    <xf numFmtId="166" fontId="57" fillId="9" borderId="12" xfId="17" applyNumberFormat="1" applyFont="1" applyFill="1" applyBorder="1"/>
    <xf numFmtId="44" fontId="49" fillId="0" borderId="12" xfId="13" applyFont="1" applyBorder="1" applyAlignment="1">
      <alignment horizontal="left"/>
    </xf>
    <xf numFmtId="44" fontId="0" fillId="0" borderId="12" xfId="13" applyFont="1" applyBorder="1" applyAlignment="1">
      <alignment horizontal="left"/>
    </xf>
    <xf numFmtId="44" fontId="49" fillId="9" borderId="12" xfId="13" applyFont="1" applyFill="1" applyBorder="1" applyAlignment="1">
      <alignment horizontal="left"/>
    </xf>
    <xf numFmtId="0" fontId="0" fillId="0" borderId="11" xfId="0" applyBorder="1"/>
    <xf numFmtId="44" fontId="0" fillId="0" borderId="12" xfId="13" applyFont="1" applyBorder="1"/>
    <xf numFmtId="0" fontId="0" fillId="0" borderId="25" xfId="0" applyBorder="1" applyAlignment="1">
      <alignment wrapText="1"/>
    </xf>
    <xf numFmtId="0" fontId="23" fillId="9" borderId="18" xfId="30" applyFont="1" applyFill="1" applyBorder="1" applyAlignment="1">
      <alignment vertical="center" wrapText="1"/>
    </xf>
    <xf numFmtId="0" fontId="23" fillId="9" borderId="18" xfId="32" applyFont="1" applyFill="1" applyBorder="1" applyAlignment="1">
      <alignment wrapText="1"/>
    </xf>
    <xf numFmtId="0" fontId="23" fillId="0" borderId="0" xfId="32" applyFont="1" applyAlignment="1">
      <alignment wrapText="1"/>
    </xf>
    <xf numFmtId="49" fontId="9" fillId="0" borderId="0" xfId="33" applyFont="1" applyFill="1" applyBorder="1">
      <alignment horizontal="center" vertical="center" wrapText="1"/>
      <protection locked="0"/>
    </xf>
    <xf numFmtId="0" fontId="84" fillId="0" borderId="0" xfId="32" applyFont="1" applyAlignment="1">
      <alignment wrapText="1"/>
    </xf>
    <xf numFmtId="0" fontId="85" fillId="0" borderId="20" xfId="30" applyFont="1" applyBorder="1" applyAlignment="1">
      <alignment vertical="center" wrapText="1"/>
    </xf>
    <xf numFmtId="0" fontId="85" fillId="0" borderId="21" xfId="30" applyFont="1" applyBorder="1" applyAlignment="1">
      <alignment vertical="center" wrapText="1"/>
    </xf>
    <xf numFmtId="0" fontId="84" fillId="0" borderId="0" xfId="30" applyFont="1">
      <alignment horizontal="left" vertical="center" wrapText="1"/>
    </xf>
    <xf numFmtId="0" fontId="85" fillId="0" borderId="23" xfId="30" applyFont="1" applyBorder="1" applyAlignment="1">
      <alignment vertical="center" wrapText="1"/>
    </xf>
    <xf numFmtId="0" fontId="85" fillId="0" borderId="18" xfId="30" applyFont="1" applyBorder="1" applyAlignment="1">
      <alignment vertical="center" wrapText="1"/>
    </xf>
    <xf numFmtId="0" fontId="84" fillId="0" borderId="23" xfId="30" applyFont="1" applyBorder="1" applyAlignment="1">
      <alignment vertical="center" wrapText="1"/>
    </xf>
    <xf numFmtId="0" fontId="84" fillId="0" borderId="18" xfId="30" applyFont="1" applyBorder="1" applyAlignment="1">
      <alignment vertical="center" wrapText="1"/>
    </xf>
    <xf numFmtId="0" fontId="84" fillId="0" borderId="26" xfId="30" applyFont="1" applyBorder="1">
      <alignment horizontal="left" vertical="center" wrapText="1"/>
    </xf>
    <xf numFmtId="172" fontId="85" fillId="0" borderId="0" xfId="34" applyFont="1" applyFill="1" applyBorder="1">
      <alignment vertical="center"/>
    </xf>
    <xf numFmtId="44" fontId="0" fillId="0" borderId="21" xfId="13" applyFont="1" applyBorder="1" applyAlignment="1">
      <alignment horizontal="left"/>
    </xf>
    <xf numFmtId="44" fontId="85" fillId="6" borderId="22" xfId="13" applyFont="1" applyFill="1" applyBorder="1" applyAlignment="1">
      <alignment horizontal="left" vertical="center"/>
    </xf>
    <xf numFmtId="44" fontId="0" fillId="0" borderId="18" xfId="13" applyFont="1" applyBorder="1" applyAlignment="1">
      <alignment horizontal="left"/>
    </xf>
    <xf numFmtId="44" fontId="85" fillId="6" borderId="24" xfId="13" applyFont="1" applyFill="1" applyBorder="1" applyAlignment="1">
      <alignment horizontal="left" vertical="center"/>
    </xf>
    <xf numFmtId="44" fontId="85" fillId="0" borderId="24" xfId="13" applyFont="1" applyFill="1" applyBorder="1" applyAlignment="1">
      <alignment horizontal="left" vertical="center"/>
    </xf>
    <xf numFmtId="44" fontId="0" fillId="6" borderId="18" xfId="13" applyFont="1" applyFill="1" applyBorder="1" applyAlignment="1">
      <alignment horizontal="left"/>
    </xf>
    <xf numFmtId="44" fontId="85" fillId="2" borderId="24" xfId="13" applyFont="1" applyFill="1" applyBorder="1" applyAlignment="1">
      <alignment horizontal="left" vertical="center"/>
    </xf>
    <xf numFmtId="44" fontId="84" fillId="0" borderId="26" xfId="13" applyFont="1" applyBorder="1" applyAlignment="1">
      <alignment horizontal="left" vertical="center" wrapText="1"/>
    </xf>
    <xf numFmtId="44" fontId="85" fillId="2" borderId="27" xfId="13" applyFont="1" applyFill="1" applyBorder="1" applyAlignment="1">
      <alignment horizontal="left" vertical="center"/>
    </xf>
    <xf numFmtId="0" fontId="49" fillId="2" borderId="12" xfId="0" applyFont="1" applyFill="1" applyBorder="1" applyAlignment="1">
      <alignment horizontal="center"/>
    </xf>
    <xf numFmtId="166" fontId="49" fillId="2" borderId="12" xfId="0" applyNumberFormat="1" applyFont="1" applyFill="1" applyBorder="1" applyAlignment="1">
      <alignment horizontal="center"/>
    </xf>
    <xf numFmtId="165" fontId="60" fillId="0" borderId="0" xfId="39" applyFont="1" applyFill="1" applyAlignment="1">
      <alignment vertical="center"/>
    </xf>
    <xf numFmtId="0" fontId="9" fillId="0" borderId="0" xfId="22"/>
    <xf numFmtId="0" fontId="9" fillId="0" borderId="0" xfId="19"/>
    <xf numFmtId="0" fontId="9" fillId="0" borderId="0" xfId="19" applyAlignment="1">
      <alignment horizontal="left"/>
    </xf>
    <xf numFmtId="43" fontId="9" fillId="0" borderId="0" xfId="19" applyNumberFormat="1"/>
    <xf numFmtId="0" fontId="9" fillId="0" borderId="5" xfId="22" applyBorder="1"/>
    <xf numFmtId="0" fontId="9" fillId="0" borderId="8" xfId="22" applyBorder="1"/>
    <xf numFmtId="0" fontId="9" fillId="0" borderId="9" xfId="22" applyBorder="1"/>
    <xf numFmtId="0" fontId="9" fillId="0" borderId="4" xfId="22" applyBorder="1"/>
    <xf numFmtId="0" fontId="9" fillId="0" borderId="6" xfId="22" applyBorder="1"/>
    <xf numFmtId="0" fontId="9" fillId="0" borderId="1" xfId="22" applyBorder="1"/>
    <xf numFmtId="44" fontId="9" fillId="0" borderId="7" xfId="22" applyNumberFormat="1" applyBorder="1"/>
    <xf numFmtId="0" fontId="9" fillId="0" borderId="2" xfId="22" applyBorder="1"/>
    <xf numFmtId="44" fontId="9" fillId="0" borderId="0" xfId="22" applyNumberFormat="1"/>
    <xf numFmtId="0" fontId="9" fillId="0" borderId="7" xfId="22" applyBorder="1"/>
    <xf numFmtId="0" fontId="9" fillId="0" borderId="15" xfId="22" applyBorder="1"/>
    <xf numFmtId="0" fontId="9" fillId="0" borderId="0" xfId="22" applyAlignment="1">
      <alignment horizontal="left"/>
    </xf>
    <xf numFmtId="14" fontId="9" fillId="0" borderId="0" xfId="1" applyNumberFormat="1"/>
    <xf numFmtId="0" fontId="57" fillId="0" borderId="0" xfId="17" applyFont="1" applyAlignment="1">
      <alignment vertical="center"/>
    </xf>
    <xf numFmtId="0" fontId="57" fillId="0" borderId="0" xfId="27" applyFont="1"/>
    <xf numFmtId="9" fontId="49" fillId="0" borderId="0" xfId="0" applyNumberFormat="1" applyFont="1" applyAlignment="1">
      <alignment horizontal="center"/>
    </xf>
    <xf numFmtId="0" fontId="21" fillId="0" borderId="0" xfId="43"/>
    <xf numFmtId="4" fontId="9" fillId="0" borderId="0" xfId="22" applyNumberFormat="1"/>
    <xf numFmtId="0" fontId="9" fillId="0" borderId="32" xfId="22" applyBorder="1"/>
    <xf numFmtId="4" fontId="9" fillId="0" borderId="38" xfId="22" applyNumberFormat="1" applyBorder="1"/>
    <xf numFmtId="0" fontId="9" fillId="0" borderId="37" xfId="22" applyBorder="1"/>
    <xf numFmtId="0" fontId="9" fillId="0" borderId="39" xfId="22" applyBorder="1"/>
    <xf numFmtId="0" fontId="9" fillId="0" borderId="41" xfId="22" applyBorder="1"/>
    <xf numFmtId="0" fontId="9" fillId="0" borderId="44" xfId="22" applyBorder="1"/>
    <xf numFmtId="44" fontId="57" fillId="0" borderId="39" xfId="45" applyNumberFormat="1" applyBorder="1"/>
    <xf numFmtId="0" fontId="57" fillId="0" borderId="0" xfId="45"/>
    <xf numFmtId="0" fontId="57" fillId="0" borderId="0" xfId="45" quotePrefix="1"/>
    <xf numFmtId="44" fontId="57" fillId="0" borderId="47" xfId="45" applyNumberFormat="1" applyBorder="1"/>
    <xf numFmtId="0" fontId="9" fillId="0" borderId="46" xfId="22" applyBorder="1"/>
    <xf numFmtId="0" fontId="21" fillId="6" borderId="0" xfId="18" applyNumberFormat="1" applyFont="1" applyFill="1" applyBorder="1" applyAlignment="1">
      <alignment horizontal="center" vertical="center"/>
    </xf>
    <xf numFmtId="0" fontId="73" fillId="0" borderId="0" xfId="2" applyFont="1"/>
    <xf numFmtId="0" fontId="45" fillId="0" borderId="0" xfId="2" applyFont="1"/>
    <xf numFmtId="168" fontId="73" fillId="0" borderId="0" xfId="15" applyNumberFormat="1" applyFont="1" applyAlignment="1">
      <alignment horizontal="left"/>
    </xf>
    <xf numFmtId="43" fontId="45" fillId="0" borderId="0" xfId="2" applyNumberFormat="1" applyFont="1"/>
    <xf numFmtId="43" fontId="45" fillId="0" borderId="0" xfId="7" applyFont="1" applyBorder="1"/>
    <xf numFmtId="0" fontId="74" fillId="0" borderId="0" xfId="15" applyFont="1"/>
    <xf numFmtId="43" fontId="9" fillId="0" borderId="0" xfId="2" applyNumberFormat="1" applyFont="1"/>
    <xf numFmtId="43" fontId="9" fillId="0" borderId="0" xfId="7" applyFont="1" applyBorder="1"/>
    <xf numFmtId="0" fontId="9" fillId="0" borderId="0" xfId="2" applyFont="1"/>
    <xf numFmtId="0" fontId="23" fillId="0" borderId="0" xfId="2" applyFont="1"/>
    <xf numFmtId="4" fontId="23" fillId="0" borderId="0" xfId="2" applyNumberFormat="1" applyFont="1" applyAlignment="1">
      <alignment horizontal="center"/>
    </xf>
    <xf numFmtId="4" fontId="23" fillId="0" borderId="0" xfId="2" applyNumberFormat="1" applyFont="1"/>
    <xf numFmtId="0" fontId="23" fillId="0" borderId="0" xfId="2" applyFont="1" applyAlignment="1">
      <alignment horizontal="center"/>
    </xf>
    <xf numFmtId="4" fontId="9" fillId="0" borderId="0" xfId="2" applyNumberFormat="1" applyFont="1"/>
    <xf numFmtId="44" fontId="9" fillId="0" borderId="0" xfId="13" applyFont="1" applyAlignment="1">
      <alignment horizontal="left"/>
    </xf>
    <xf numFmtId="44" fontId="23" fillId="0" borderId="2" xfId="13" applyFont="1" applyBorder="1" applyAlignment="1">
      <alignment horizontal="left"/>
    </xf>
    <xf numFmtId="44" fontId="23" fillId="0" borderId="0" xfId="13" applyFont="1" applyAlignment="1">
      <alignment horizontal="left"/>
    </xf>
    <xf numFmtId="44" fontId="23" fillId="0" borderId="3" xfId="13" applyFont="1" applyBorder="1" applyAlignment="1">
      <alignment horizontal="left"/>
    </xf>
    <xf numFmtId="0" fontId="23" fillId="9" borderId="43" xfId="22" applyFont="1" applyFill="1" applyBorder="1"/>
    <xf numFmtId="44" fontId="23" fillId="9" borderId="35" xfId="44" applyFont="1" applyFill="1" applyBorder="1"/>
    <xf numFmtId="44" fontId="23" fillId="9" borderId="43" xfId="44" applyFont="1" applyFill="1" applyBorder="1"/>
    <xf numFmtId="44" fontId="57" fillId="9" borderId="43" xfId="17" applyNumberFormat="1" applyFont="1" applyFill="1" applyBorder="1"/>
    <xf numFmtId="0" fontId="23" fillId="9" borderId="32" xfId="22" applyFont="1" applyFill="1" applyBorder="1"/>
    <xf numFmtId="44" fontId="23" fillId="9" borderId="36" xfId="44" applyFont="1" applyFill="1" applyBorder="1"/>
    <xf numFmtId="9" fontId="23" fillId="11" borderId="48" xfId="22" applyNumberFormat="1" applyFont="1" applyFill="1" applyBorder="1" applyAlignment="1">
      <alignment horizontal="right"/>
    </xf>
    <xf numFmtId="44" fontId="23" fillId="11" borderId="49" xfId="44" applyFont="1" applyFill="1" applyBorder="1"/>
    <xf numFmtId="0" fontId="23" fillId="11" borderId="50" xfId="22" applyFont="1" applyFill="1" applyBorder="1" applyAlignment="1">
      <alignment horizontal="right"/>
    </xf>
    <xf numFmtId="44" fontId="23" fillId="11" borderId="51" xfId="22" applyNumberFormat="1" applyFont="1" applyFill="1" applyBorder="1"/>
    <xf numFmtId="0" fontId="0" fillId="0" borderId="0" xfId="0" applyAlignment="1">
      <alignment vertical="center"/>
    </xf>
    <xf numFmtId="0" fontId="49" fillId="9" borderId="31" xfId="42" applyNumberFormat="1" applyFont="1" applyFill="1" applyBorder="1"/>
    <xf numFmtId="0" fontId="63" fillId="8" borderId="3" xfId="0" applyFont="1" applyFill="1" applyBorder="1"/>
    <xf numFmtId="0" fontId="61" fillId="0" borderId="14" xfId="0" applyFont="1" applyBorder="1"/>
    <xf numFmtId="0" fontId="65" fillId="0" borderId="11" xfId="0" applyFont="1" applyBorder="1" applyAlignment="1">
      <alignment horizontal="left" indent="1"/>
    </xf>
    <xf numFmtId="0" fontId="61" fillId="0" borderId="10" xfId="0" applyFont="1" applyBorder="1"/>
    <xf numFmtId="0" fontId="65" fillId="0" borderId="10" xfId="0" applyFont="1" applyBorder="1" applyAlignment="1">
      <alignment horizontal="left" indent="1"/>
    </xf>
    <xf numFmtId="0" fontId="0" fillId="0" borderId="0" xfId="0" applyAlignment="1">
      <alignment horizontal="center" vertical="center" wrapText="1"/>
    </xf>
    <xf numFmtId="0" fontId="49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vertical="center"/>
    </xf>
    <xf numFmtId="0" fontId="49" fillId="0" borderId="12" xfId="0" applyFont="1" applyBorder="1" applyAlignment="1">
      <alignment vertical="center"/>
    </xf>
    <xf numFmtId="0" fontId="49" fillId="0" borderId="2" xfId="0" applyFont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49" fillId="0" borderId="12" xfId="0" applyFont="1" applyBorder="1" applyAlignment="1">
      <alignment horizontal="right" vertical="center" wrapText="1"/>
    </xf>
    <xf numFmtId="0" fontId="0" fillId="0" borderId="12" xfId="0" applyBorder="1" applyAlignment="1">
      <alignment vertical="center" wrapText="1"/>
    </xf>
    <xf numFmtId="0" fontId="49" fillId="0" borderId="12" xfId="0" applyFont="1" applyBorder="1" applyAlignment="1">
      <alignment vertical="center" wrapText="1"/>
    </xf>
    <xf numFmtId="44" fontId="0" fillId="0" borderId="12" xfId="13" applyFont="1" applyBorder="1" applyAlignment="1">
      <alignment horizontal="right" vertical="center" wrapText="1"/>
    </xf>
    <xf numFmtId="44" fontId="49" fillId="0" borderId="12" xfId="13" applyFont="1" applyBorder="1" applyAlignment="1">
      <alignment horizontal="right" vertical="center" wrapText="1"/>
    </xf>
    <xf numFmtId="44" fontId="0" fillId="0" borderId="12" xfId="13" applyFont="1" applyBorder="1" applyAlignment="1">
      <alignment horizontal="center" vertical="center" wrapText="1"/>
    </xf>
    <xf numFmtId="44" fontId="0" fillId="0" borderId="12" xfId="13" applyFont="1" applyBorder="1" applyAlignment="1">
      <alignment horizontal="right" vertical="center"/>
    </xf>
    <xf numFmtId="44" fontId="49" fillId="0" borderId="12" xfId="13" applyFont="1" applyBorder="1" applyAlignment="1">
      <alignment horizontal="center" vertical="center" wrapText="1"/>
    </xf>
    <xf numFmtId="0" fontId="0" fillId="0" borderId="13" xfId="0" applyBorder="1" applyAlignment="1">
      <alignment vertical="center"/>
    </xf>
    <xf numFmtId="0" fontId="0" fillId="0" borderId="16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49" fillId="2" borderId="12" xfId="0" applyFont="1" applyFill="1" applyBorder="1" applyAlignment="1">
      <alignment vertical="center"/>
    </xf>
    <xf numFmtId="44" fontId="49" fillId="2" borderId="12" xfId="13" applyFont="1" applyFill="1" applyBorder="1" applyAlignment="1">
      <alignment horizontal="right" vertical="center"/>
    </xf>
    <xf numFmtId="0" fontId="49" fillId="2" borderId="1" xfId="0" applyFont="1" applyFill="1" applyBorder="1" applyAlignment="1">
      <alignment vertical="center"/>
    </xf>
    <xf numFmtId="0" fontId="49" fillId="2" borderId="1" xfId="0" applyFont="1" applyFill="1" applyBorder="1" applyAlignment="1">
      <alignment horizontal="center" vertical="center" wrapText="1"/>
    </xf>
    <xf numFmtId="0" fontId="49" fillId="2" borderId="7" xfId="0" applyFont="1" applyFill="1" applyBorder="1" applyAlignment="1">
      <alignment horizontal="center" vertical="center" wrapText="1"/>
    </xf>
    <xf numFmtId="0" fontId="34" fillId="12" borderId="12" xfId="15" applyFont="1" applyFill="1" applyBorder="1" applyAlignment="1">
      <alignment horizontal="center" vertical="center" wrapText="1"/>
    </xf>
    <xf numFmtId="0" fontId="34" fillId="12" borderId="12" xfId="15" applyFont="1" applyFill="1" applyBorder="1" applyAlignment="1">
      <alignment horizontal="left" vertical="center" wrapText="1"/>
    </xf>
    <xf numFmtId="0" fontId="7" fillId="12" borderId="12" xfId="15" applyFill="1" applyBorder="1" applyAlignment="1">
      <alignment horizontal="center"/>
    </xf>
    <xf numFmtId="0" fontId="34" fillId="12" borderId="12" xfId="15" applyFont="1" applyFill="1" applyBorder="1" applyAlignment="1">
      <alignment horizontal="center"/>
    </xf>
    <xf numFmtId="0" fontId="23" fillId="12" borderId="5" xfId="15" applyFont="1" applyFill="1" applyBorder="1"/>
    <xf numFmtId="0" fontId="23" fillId="12" borderId="2" xfId="15" applyFont="1" applyFill="1" applyBorder="1"/>
    <xf numFmtId="0" fontId="23" fillId="12" borderId="2" xfId="15" applyFont="1" applyFill="1" applyBorder="1" applyAlignment="1">
      <alignment horizontal="center"/>
    </xf>
    <xf numFmtId="0" fontId="23" fillId="12" borderId="8" xfId="15" applyFont="1" applyFill="1" applyBorder="1" applyAlignment="1">
      <alignment horizontal="center"/>
    </xf>
    <xf numFmtId="0" fontId="23" fillId="12" borderId="5" xfId="15" applyFont="1" applyFill="1" applyBorder="1" applyAlignment="1">
      <alignment vertical="center"/>
    </xf>
    <xf numFmtId="0" fontId="23" fillId="12" borderId="2" xfId="15" applyFont="1" applyFill="1" applyBorder="1" applyAlignment="1">
      <alignment vertical="center"/>
    </xf>
    <xf numFmtId="0" fontId="23" fillId="12" borderId="2" xfId="15" applyFont="1" applyFill="1" applyBorder="1" applyAlignment="1">
      <alignment horizontal="center" vertical="center"/>
    </xf>
    <xf numFmtId="0" fontId="23" fillId="12" borderId="8" xfId="15" applyFont="1" applyFill="1" applyBorder="1" applyAlignment="1">
      <alignment horizontal="center" vertical="center"/>
    </xf>
    <xf numFmtId="0" fontId="73" fillId="0" borderId="0" xfId="15" applyFont="1" applyAlignment="1">
      <alignment horizontal="center" vertical="center"/>
    </xf>
    <xf numFmtId="0" fontId="23" fillId="12" borderId="0" xfId="22" applyFont="1" applyFill="1"/>
    <xf numFmtId="0" fontId="49" fillId="12" borderId="12" xfId="0" applyFont="1" applyFill="1" applyBorder="1" applyAlignment="1">
      <alignment horizontal="center" vertical="center"/>
    </xf>
    <xf numFmtId="0" fontId="49" fillId="12" borderId="12" xfId="0" applyFont="1" applyFill="1" applyBorder="1" applyAlignment="1">
      <alignment horizontal="center" vertical="center" wrapText="1"/>
    </xf>
    <xf numFmtId="0" fontId="49" fillId="12" borderId="0" xfId="0" applyFont="1" applyFill="1" applyAlignment="1">
      <alignment vertical="center"/>
    </xf>
    <xf numFmtId="0" fontId="49" fillId="12" borderId="0" xfId="38" applyFont="1" applyFill="1" applyAlignment="1">
      <alignment vertical="center"/>
    </xf>
    <xf numFmtId="0" fontId="25" fillId="12" borderId="12" xfId="0" applyFont="1" applyFill="1" applyBorder="1"/>
    <xf numFmtId="0" fontId="53" fillId="12" borderId="12" xfId="0" applyFont="1" applyFill="1" applyBorder="1" applyAlignment="1">
      <alignment horizontal="left" wrapText="1"/>
    </xf>
    <xf numFmtId="0" fontId="25" fillId="12" borderId="12" xfId="0" applyFont="1" applyFill="1" applyBorder="1" applyAlignment="1">
      <alignment horizontal="center" vertical="center"/>
    </xf>
    <xf numFmtId="0" fontId="25" fillId="12" borderId="12" xfId="0" applyFont="1" applyFill="1" applyBorder="1" applyAlignment="1">
      <alignment horizontal="left" vertical="top"/>
    </xf>
    <xf numFmtId="0" fontId="53" fillId="12" borderId="12" xfId="0" applyFont="1" applyFill="1" applyBorder="1" applyAlignment="1">
      <alignment horizontal="left" vertical="top" wrapText="1"/>
    </xf>
    <xf numFmtId="0" fontId="49" fillId="12" borderId="12" xfId="0" applyFont="1" applyFill="1" applyBorder="1" applyAlignment="1">
      <alignment horizontal="left" vertical="top" wrapText="1"/>
    </xf>
    <xf numFmtId="0" fontId="49" fillId="12" borderId="29" xfId="1" applyFont="1" applyFill="1" applyBorder="1" applyAlignment="1">
      <alignment horizontal="center"/>
    </xf>
    <xf numFmtId="0" fontId="49" fillId="12" borderId="0" xfId="37" applyFont="1" applyFill="1" applyAlignment="1">
      <alignment horizontal="right"/>
    </xf>
    <xf numFmtId="164" fontId="49" fillId="12" borderId="0" xfId="37" applyNumberFormat="1" applyFont="1" applyFill="1"/>
    <xf numFmtId="44" fontId="49" fillId="12" borderId="0" xfId="36" applyFont="1" applyFill="1" applyBorder="1"/>
    <xf numFmtId="0" fontId="80" fillId="0" borderId="0" xfId="2" applyFont="1" applyAlignment="1">
      <alignment horizontal="left"/>
    </xf>
    <xf numFmtId="0" fontId="67" fillId="0" borderId="0" xfId="15" applyFont="1" applyAlignment="1">
      <alignment horizontal="left"/>
    </xf>
    <xf numFmtId="0" fontId="70" fillId="0" borderId="0" xfId="15" applyFont="1" applyAlignment="1">
      <alignment horizontal="left"/>
    </xf>
    <xf numFmtId="0" fontId="43" fillId="0" borderId="0" xfId="2" applyFont="1" applyAlignment="1">
      <alignment horizontal="left"/>
    </xf>
    <xf numFmtId="0" fontId="41" fillId="0" borderId="0" xfId="15" applyFont="1" applyAlignment="1">
      <alignment horizontal="left"/>
    </xf>
    <xf numFmtId="0" fontId="40" fillId="0" borderId="0" xfId="15" applyFont="1" applyAlignment="1">
      <alignment horizontal="left"/>
    </xf>
    <xf numFmtId="0" fontId="69" fillId="12" borderId="0" xfId="0" applyFont="1" applyFill="1" applyAlignment="1">
      <alignment horizontal="center"/>
    </xf>
    <xf numFmtId="0" fontId="69" fillId="12" borderId="0" xfId="0" applyFont="1" applyFill="1" applyAlignment="1">
      <alignment horizontal="center" wrapText="1"/>
    </xf>
    <xf numFmtId="166" fontId="16" fillId="0" borderId="0" xfId="1" applyNumberFormat="1" applyFont="1" applyAlignment="1">
      <alignment horizontal="center"/>
    </xf>
    <xf numFmtId="15" fontId="16" fillId="0" borderId="0" xfId="1" applyNumberFormat="1" applyFont="1" applyAlignment="1">
      <alignment horizontal="center"/>
    </xf>
    <xf numFmtId="2" fontId="15" fillId="0" borderId="0" xfId="1" applyNumberFormat="1" applyFont="1" applyAlignment="1">
      <alignment horizontal="center"/>
    </xf>
    <xf numFmtId="0" fontId="15" fillId="0" borderId="0" xfId="1" applyFont="1" applyAlignment="1">
      <alignment horizontal="center"/>
    </xf>
    <xf numFmtId="4" fontId="23" fillId="0" borderId="0" xfId="2" applyNumberFormat="1" applyFont="1" applyAlignment="1">
      <alignment horizontal="center"/>
    </xf>
    <xf numFmtId="0" fontId="87" fillId="0" borderId="0" xfId="2" applyFont="1" applyAlignment="1">
      <alignment horizontal="left"/>
    </xf>
    <xf numFmtId="0" fontId="23" fillId="0" borderId="33" xfId="22" applyFont="1" applyBorder="1" applyAlignment="1">
      <alignment horizontal="center"/>
    </xf>
    <xf numFmtId="0" fontId="23" fillId="0" borderId="34" xfId="22" applyFont="1" applyBorder="1" applyAlignment="1">
      <alignment horizontal="center"/>
    </xf>
    <xf numFmtId="0" fontId="23" fillId="0" borderId="35" xfId="22" applyFont="1" applyBorder="1" applyAlignment="1">
      <alignment horizontal="center"/>
    </xf>
    <xf numFmtId="0" fontId="88" fillId="12" borderId="5" xfId="0" applyFont="1" applyFill="1" applyBorder="1" applyAlignment="1">
      <alignment horizontal="center" vertical="center"/>
    </xf>
    <xf numFmtId="0" fontId="88" fillId="12" borderId="2" xfId="0" applyFont="1" applyFill="1" applyBorder="1" applyAlignment="1">
      <alignment horizontal="center" vertical="center"/>
    </xf>
    <xf numFmtId="0" fontId="88" fillId="12" borderId="8" xfId="0" applyFont="1" applyFill="1" applyBorder="1" applyAlignment="1">
      <alignment horizontal="center" vertical="center"/>
    </xf>
    <xf numFmtId="0" fontId="88" fillId="12" borderId="4" xfId="0" applyFont="1" applyFill="1" applyBorder="1" applyAlignment="1">
      <alignment horizontal="center" vertical="center"/>
    </xf>
    <xf numFmtId="0" fontId="88" fillId="12" borderId="0" xfId="0" applyFont="1" applyFill="1" applyAlignment="1">
      <alignment horizontal="center" vertical="center"/>
    </xf>
    <xf numFmtId="0" fontId="88" fillId="12" borderId="9" xfId="0" applyFont="1" applyFill="1" applyBorder="1" applyAlignment="1">
      <alignment horizontal="center" vertical="center"/>
    </xf>
    <xf numFmtId="0" fontId="88" fillId="12" borderId="6" xfId="0" applyFont="1" applyFill="1" applyBorder="1" applyAlignment="1">
      <alignment horizontal="center" vertical="center"/>
    </xf>
    <xf numFmtId="0" fontId="88" fillId="12" borderId="1" xfId="0" applyFont="1" applyFill="1" applyBorder="1" applyAlignment="1">
      <alignment horizontal="center" vertical="center"/>
    </xf>
    <xf numFmtId="0" fontId="88" fillId="12" borderId="7" xfId="0" applyFont="1" applyFill="1" applyBorder="1" applyAlignment="1">
      <alignment horizontal="center" vertical="center"/>
    </xf>
    <xf numFmtId="0" fontId="69" fillId="10" borderId="0" xfId="0" applyFont="1" applyFill="1" applyAlignment="1">
      <alignment horizontal="center" wrapText="1"/>
    </xf>
    <xf numFmtId="0" fontId="9" fillId="6" borderId="18" xfId="31" applyFont="1" applyFill="1" applyBorder="1" applyAlignment="1">
      <alignment vertical="center" wrapText="1"/>
    </xf>
    <xf numFmtId="49" fontId="9" fillId="6" borderId="18" xfId="33" applyFont="1" applyBorder="1" applyAlignment="1">
      <alignment horizontal="left" vertical="center" wrapText="1"/>
      <protection locked="0"/>
    </xf>
    <xf numFmtId="49" fontId="85" fillId="0" borderId="1" xfId="33" applyFont="1" applyFill="1" applyBorder="1">
      <alignment horizontal="center" vertical="center" wrapText="1"/>
      <protection locked="0"/>
    </xf>
    <xf numFmtId="0" fontId="51" fillId="0" borderId="0" xfId="0" applyFont="1" applyAlignment="1">
      <alignment horizontal="center"/>
    </xf>
    <xf numFmtId="0" fontId="89" fillId="13" borderId="0" xfId="0" applyFont="1" applyFill="1"/>
    <xf numFmtId="0" fontId="89" fillId="0" borderId="52" xfId="0" applyFont="1" applyBorder="1" applyAlignment="1">
      <alignment horizontal="left" vertical="center" wrapText="1"/>
    </xf>
    <xf numFmtId="0" fontId="89" fillId="0" borderId="53" xfId="0" applyFont="1" applyBorder="1" applyAlignment="1">
      <alignment horizontal="left" vertical="center" wrapText="1"/>
    </xf>
    <xf numFmtId="0" fontId="89" fillId="0" borderId="54" xfId="0" applyFont="1" applyBorder="1" applyAlignment="1">
      <alignment horizontal="left" vertical="center" wrapText="1"/>
    </xf>
    <xf numFmtId="0" fontId="79" fillId="0" borderId="10" xfId="0" applyFont="1" applyBorder="1"/>
    <xf numFmtId="0" fontId="79" fillId="0" borderId="12" xfId="0" applyFont="1" applyBorder="1"/>
    <xf numFmtId="0" fontId="89" fillId="0" borderId="0" xfId="0" applyFont="1"/>
    <xf numFmtId="0" fontId="89" fillId="13" borderId="0" xfId="0" applyFont="1" applyFill="1"/>
    <xf numFmtId="0" fontId="90" fillId="0" borderId="2" xfId="0" applyFont="1" applyBorder="1"/>
    <xf numFmtId="0" fontId="89" fillId="0" borderId="0" xfId="0" applyFont="1"/>
    <xf numFmtId="0" fontId="89" fillId="13" borderId="29" xfId="0" applyFont="1" applyFill="1" applyBorder="1" applyAlignment="1"/>
    <xf numFmtId="0" fontId="79" fillId="13" borderId="0" xfId="0" applyFont="1" applyFill="1" applyAlignment="1">
      <alignment horizontal="center"/>
    </xf>
    <xf numFmtId="0" fontId="79" fillId="0" borderId="29" xfId="0" applyFont="1" applyBorder="1" applyAlignment="1">
      <alignment horizontal="center"/>
    </xf>
    <xf numFmtId="0" fontId="79" fillId="0" borderId="0" xfId="0" applyFont="1" applyAlignment="1">
      <alignment horizontal="center"/>
    </xf>
    <xf numFmtId="0" fontId="89" fillId="0" borderId="53" xfId="0" applyFont="1" applyBorder="1" applyAlignment="1">
      <alignment horizontal="center" vertical="center" wrapText="1"/>
    </xf>
    <xf numFmtId="0" fontId="79" fillId="0" borderId="10" xfId="0" applyFont="1" applyBorder="1" applyAlignment="1">
      <alignment horizontal="center"/>
    </xf>
    <xf numFmtId="0" fontId="79" fillId="0" borderId="12" xfId="0" applyFont="1" applyBorder="1" applyAlignment="1">
      <alignment horizontal="center"/>
    </xf>
    <xf numFmtId="0" fontId="79" fillId="0" borderId="2" xfId="0" applyFont="1" applyBorder="1" applyAlignment="1">
      <alignment horizontal="center"/>
    </xf>
    <xf numFmtId="0" fontId="89" fillId="13" borderId="0" xfId="0" applyFont="1" applyFill="1" applyAlignment="1">
      <alignment horizontal="center"/>
    </xf>
    <xf numFmtId="0" fontId="89" fillId="13" borderId="0" xfId="0" applyFont="1" applyFill="1" applyAlignment="1">
      <alignment horizontal="center"/>
    </xf>
    <xf numFmtId="0" fontId="89" fillId="0" borderId="0" xfId="0" applyFont="1" applyAlignment="1">
      <alignment horizontal="center"/>
    </xf>
    <xf numFmtId="0" fontId="89" fillId="0" borderId="0" xfId="0" applyFont="1" applyAlignment="1">
      <alignment horizontal="center"/>
    </xf>
  </cellXfs>
  <cellStyles count="52">
    <cellStyle name="Comma" xfId="29" builtinId="3"/>
    <cellStyle name="Comma 2" xfId="4" xr:uid="{00000000-0005-0000-0000-000001000000}"/>
    <cellStyle name="Comma 2 2" xfId="46" xr:uid="{00000000-0005-0000-0000-000002000000}"/>
    <cellStyle name="Comma 3" xfId="7" xr:uid="{00000000-0005-0000-0000-000003000000}"/>
    <cellStyle name="Comma 3 2" xfId="21" xr:uid="{00000000-0005-0000-0000-000004000000}"/>
    <cellStyle name="Comma 3 2 2" xfId="39" xr:uid="{00000000-0005-0000-0000-000005000000}"/>
    <cellStyle name="Comma 4" xfId="10" xr:uid="{00000000-0005-0000-0000-000006000000}"/>
    <cellStyle name="Comma 5" xfId="18" xr:uid="{00000000-0005-0000-0000-000007000000}"/>
    <cellStyle name="Comma 6" xfId="23" xr:uid="{00000000-0005-0000-0000-000008000000}"/>
    <cellStyle name="Comma 7" xfId="48" xr:uid="{00000000-0005-0000-0000-000009000000}"/>
    <cellStyle name="Currency" xfId="13" builtinId="4"/>
    <cellStyle name="Currency 2" xfId="5" xr:uid="{00000000-0005-0000-0000-00000B000000}"/>
    <cellStyle name="Currency 2 2" xfId="44" xr:uid="{00000000-0005-0000-0000-00000C000000}"/>
    <cellStyle name="Currency 2 3" xfId="28" xr:uid="{00000000-0005-0000-0000-00000D000000}"/>
    <cellStyle name="Currency 3" xfId="3" xr:uid="{00000000-0005-0000-0000-00000E000000}"/>
    <cellStyle name="Currency 3 2 2" xfId="42" xr:uid="{00000000-0005-0000-0000-00000F000000}"/>
    <cellStyle name="Currency 4" xfId="8" xr:uid="{00000000-0005-0000-0000-000010000000}"/>
    <cellStyle name="Currency 5" xfId="16" xr:uid="{00000000-0005-0000-0000-000011000000}"/>
    <cellStyle name="Currency 5 2" xfId="50" xr:uid="{00000000-0005-0000-0000-000012000000}"/>
    <cellStyle name="Currency 6" xfId="36" xr:uid="{00000000-0005-0000-0000-000013000000}"/>
    <cellStyle name="Currency 6 2" xfId="47" xr:uid="{00000000-0005-0000-0000-000014000000}"/>
    <cellStyle name="DataField Text Center" xfId="33" xr:uid="{00000000-0005-0000-0000-000015000000}"/>
    <cellStyle name="Formula Text" xfId="31" xr:uid="{00000000-0005-0000-0000-000016000000}"/>
    <cellStyle name="Hyperlink" xfId="17" builtinId="8"/>
    <cellStyle name="Hyperlink 2" xfId="27" xr:uid="{00000000-0005-0000-0000-000018000000}"/>
    <cellStyle name="Hyperlink 2 2" xfId="45" xr:uid="{00000000-0005-0000-0000-000019000000}"/>
    <cellStyle name="Hyperlink 3" xfId="35" xr:uid="{00000000-0005-0000-0000-00001A000000}"/>
    <cellStyle name="Hyperlink 3 2" xfId="40" xr:uid="{00000000-0005-0000-0000-00001B000000}"/>
    <cellStyle name="Normal" xfId="0" builtinId="0"/>
    <cellStyle name="Normal 10" xfId="37" xr:uid="{00000000-0005-0000-0000-00001D000000}"/>
    <cellStyle name="Normal 2" xfId="1" xr:uid="{00000000-0005-0000-0000-00001E000000}"/>
    <cellStyle name="Normal 2 2" xfId="20" xr:uid="{00000000-0005-0000-0000-00001F000000}"/>
    <cellStyle name="Normal 2 2 2" xfId="22" xr:uid="{00000000-0005-0000-0000-000020000000}"/>
    <cellStyle name="Normal 2 3 2" xfId="49" xr:uid="{00000000-0005-0000-0000-000021000000}"/>
    <cellStyle name="Normal 3" xfId="2" xr:uid="{00000000-0005-0000-0000-000022000000}"/>
    <cellStyle name="Normal 3 2" xfId="19" xr:uid="{00000000-0005-0000-0000-000023000000}"/>
    <cellStyle name="Normal 3 3" xfId="43" xr:uid="{00000000-0005-0000-0000-000024000000}"/>
    <cellStyle name="Normal 4" xfId="9" xr:uid="{00000000-0005-0000-0000-000025000000}"/>
    <cellStyle name="Normal 4 2" xfId="38" xr:uid="{00000000-0005-0000-0000-000026000000}"/>
    <cellStyle name="Normal 5" xfId="15" xr:uid="{00000000-0005-0000-0000-000027000000}"/>
    <cellStyle name="Normal 5 2" xfId="26" xr:uid="{00000000-0005-0000-0000-000028000000}"/>
    <cellStyle name="Normal 6" xfId="24" xr:uid="{00000000-0005-0000-0000-000029000000}"/>
    <cellStyle name="Normal 6 2" xfId="25" xr:uid="{00000000-0005-0000-0000-00002A000000}"/>
    <cellStyle name="Normal_ITR Workpapers" xfId="12" xr:uid="{00000000-0005-0000-0000-00002B000000}"/>
    <cellStyle name="Percent" xfId="14" builtinId="5"/>
    <cellStyle name="Percent 2" xfId="6" xr:uid="{00000000-0005-0000-0000-00002D000000}"/>
    <cellStyle name="Percent 2 3" xfId="41" xr:uid="{00000000-0005-0000-0000-00002E000000}"/>
    <cellStyle name="Percent 3" xfId="11" xr:uid="{00000000-0005-0000-0000-00002F000000}"/>
    <cellStyle name="Percent 4" xfId="51" xr:uid="{00000000-0005-0000-0000-000030000000}"/>
    <cellStyle name="Subtotal$" xfId="34" xr:uid="{00000000-0005-0000-0000-000031000000}"/>
    <cellStyle name="TextNoLine" xfId="32" xr:uid="{00000000-0005-0000-0000-000032000000}"/>
    <cellStyle name="TextNoLineBold" xfId="30" xr:uid="{00000000-0005-0000-0000-000033000000}"/>
  </cellStyles>
  <dxfs count="5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 tint="-0.14996795556505021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B4FCB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4.xml"/><Relationship Id="rId39" Type="http://schemas.openxmlformats.org/officeDocument/2006/relationships/externalLink" Target="externalLinks/externalLink17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2.xml"/><Relationship Id="rId42" Type="http://schemas.openxmlformats.org/officeDocument/2006/relationships/externalLink" Target="externalLinks/externalLink20.xml"/><Relationship Id="rId47" Type="http://schemas.openxmlformats.org/officeDocument/2006/relationships/externalLink" Target="externalLinks/externalLink25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3.xml"/><Relationship Id="rId33" Type="http://schemas.openxmlformats.org/officeDocument/2006/relationships/externalLink" Target="externalLinks/externalLink11.xml"/><Relationship Id="rId38" Type="http://schemas.openxmlformats.org/officeDocument/2006/relationships/externalLink" Target="externalLinks/externalLink16.xml"/><Relationship Id="rId46" Type="http://schemas.openxmlformats.org/officeDocument/2006/relationships/externalLink" Target="externalLinks/externalLink24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7.xml"/><Relationship Id="rId41" Type="http://schemas.openxmlformats.org/officeDocument/2006/relationships/externalLink" Target="externalLinks/externalLink19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2.xml"/><Relationship Id="rId32" Type="http://schemas.openxmlformats.org/officeDocument/2006/relationships/externalLink" Target="externalLinks/externalLink10.xml"/><Relationship Id="rId37" Type="http://schemas.openxmlformats.org/officeDocument/2006/relationships/externalLink" Target="externalLinks/externalLink15.xml"/><Relationship Id="rId40" Type="http://schemas.openxmlformats.org/officeDocument/2006/relationships/externalLink" Target="externalLinks/externalLink18.xml"/><Relationship Id="rId45" Type="http://schemas.openxmlformats.org/officeDocument/2006/relationships/externalLink" Target="externalLinks/externalLink23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1.xml"/><Relationship Id="rId28" Type="http://schemas.openxmlformats.org/officeDocument/2006/relationships/externalLink" Target="externalLinks/externalLink6.xml"/><Relationship Id="rId36" Type="http://schemas.openxmlformats.org/officeDocument/2006/relationships/externalLink" Target="externalLinks/externalLink14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9.xml"/><Relationship Id="rId44" Type="http://schemas.openxmlformats.org/officeDocument/2006/relationships/externalLink" Target="externalLinks/externalLink22.xml"/><Relationship Id="rId52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5.xml"/><Relationship Id="rId30" Type="http://schemas.openxmlformats.org/officeDocument/2006/relationships/externalLink" Target="externalLinks/externalLink8.xml"/><Relationship Id="rId35" Type="http://schemas.openxmlformats.org/officeDocument/2006/relationships/externalLink" Target="externalLinks/externalLink13.xml"/><Relationship Id="rId43" Type="http://schemas.openxmlformats.org/officeDocument/2006/relationships/externalLink" Target="externalLinks/externalLink21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328083</xdr:colOff>
      <xdr:row>0</xdr:row>
      <xdr:rowOff>0</xdr:rowOff>
    </xdr:from>
    <xdr:to>
      <xdr:col>21</xdr:col>
      <xdr:colOff>151251</xdr:colOff>
      <xdr:row>51</xdr:row>
      <xdr:rowOff>2200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5D4E8F3-EBA4-B34C-62B7-FA4F4B7E37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20083" y="0"/>
          <a:ext cx="6935168" cy="818311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25400</xdr:colOff>
      <xdr:row>88</xdr:row>
      <xdr:rowOff>16933</xdr:rowOff>
    </xdr:from>
    <xdr:to>
      <xdr:col>1</xdr:col>
      <xdr:colOff>5445881</xdr:colOff>
      <xdr:row>101</xdr:row>
      <xdr:rowOff>92391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353DA8C-E2C7-A217-3223-15FE9E8D52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6333" y="11836400"/>
          <a:ext cx="5420481" cy="2267266"/>
        </a:xfrm>
        <a:prstGeom prst="rect">
          <a:avLst/>
        </a:prstGeom>
      </xdr:spPr>
    </xdr:pic>
    <xdr:clientData/>
  </xdr:twoCellAnchor>
  <xdr:twoCellAnchor editAs="oneCell">
    <xdr:from>
      <xdr:col>3</xdr:col>
      <xdr:colOff>296333</xdr:colOff>
      <xdr:row>40</xdr:row>
      <xdr:rowOff>110067</xdr:rowOff>
    </xdr:from>
    <xdr:to>
      <xdr:col>11</xdr:col>
      <xdr:colOff>247135</xdr:colOff>
      <xdr:row>53</xdr:row>
      <xdr:rowOff>88356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F5ABDC0-E6B4-0ECB-858A-83827F7A6B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983133" y="6460067"/>
          <a:ext cx="5410955" cy="217200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gnyteDrive\enec\BSTax\SMSF%20Tax%20Client\Addept%20Pty%20Ltd\Julie%20Watkinson\Data\2014-15-756\2014-15\Income\Rental\Watkinson16-0513%20Depreciation%20rental%20property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Standard%20Checklists%202007-08%202008.06.131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ia-sql-2012r2\HowNowData\MYOB%20Doc%20Mgr\DM%20Checked%20Out\Temp_36\165756_1-Hire%20Purchase%20Calculator%20-%20Megan%20Jones_R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M:\Majenda\A.%20Current%20Clients\KHO001%20Khodakhast,%20Rouzbeh\Tax\Tax%202012\FinPlaning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M:\Majenda\A.%20Current%20Clients\KHO001%20Khodakhast,%20Rouzbeh\Tax\Tax%202012\Allowance%20Calculator%20sent%20to%20accountant%20ending%2030Jun2012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MYOB%20Doc%20Mgr\DM%20Checked%20Out\244348_1-JAKHOL%202013%20Working%20Papers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r03.sr.local\BSTax\Users\samuellee\Desktop\Personal\SL%20Desktop\GBA\Work%20Paper%2030.06.12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hashtax.sharepoint.com/Users/John%20Smith/Google%20Drive/JHK%20Clients%20updated/Digital%20Infusions%20Pty%20Ltd%20&amp;%20WARD%20Scott/Digital%20Infusions%20Pty%20Ltd/Working%20Papers/2016/fbt%20-%20workpapers%202016-Digistal.xlsm" TargetMode="External"/></Relationships>
</file>

<file path=xl/externalLinks/_rels/externalLink9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../Users/John%20Smith/Google%20Drive/JHK%20Clients%20updated/Digital%20Infusions%20Pty%20Ltd%20&amp;%20WARD%20Scott/Digital%20Infusions%20Pty%20Ltd/Working%20Papers/2016/fbt%20-%20workpapers%202016-Digistal.xlsm" TargetMode="External"/><Relationship Id="rId1" Type="http://schemas.openxmlformats.org/officeDocument/2006/relationships/externalLinkPath" Target="/Users/John%20Smith/Google%20Drive/JHK%20Clients%20updated/Digital%20Infusions%20Pty%20Ltd%20&amp;%20WARD%20Scott/Digital%20Infusions%20Pty%20Ltd/Working%20Papers/2016/fbt%20-%20workpapers%202016-Digistal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r03.sr.local\BSTax\BSTax\2019\Enspira\FBT\preparing%20workpapers\2020%20FBT%20Workpapers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Standards\Worksheets\Rental%20-%20Property%20investment\Proforma%20property%20investment%20worksheet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r03.sr.local\BSTax\BSTax\2019\Profit%20By%20Design\CRUM0101%20&amp;%20CRUM0102-%20Shane%20Crump%20&amp;%20Stefanie%20May\CRUM0101-Shane%20Crump\04.Report\Final%20Report\CRUM0101%202019%20Personal%20ITR%20Workpapers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r03.sr.local\BSTax\Users\shamirgupta\Dropbox\CPA\BDSWIN2K\BOS\windows\TEMP\Accountants%20Time%20Saver%20Package%20Series%201%20V97\1.%20Rule%20of%2078%20Loan%20Amortization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ia-sql-2012r2\HowNowData\MYOB%20Doc%20Mgr\DM%20Checked%20Out\244348_1-JAKHOL%202013%20Working%20Papers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r03.sr.local\BSTax\Documents%20and%20Settings\adamf\Local%20Settings\Temporary%20Internet%20Files\Standard%20Checklists%202007%20v4%20draft.XLT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r03.sr.local\BSTax\Data\Dropbox\C&amp;L%20Work\Paul's%20folder\Victor%20Biggs%20OVDI\Copy%20of%20ABL-%233585039-v1-VICTOR_BIGGS_-_CFC_VOLUNTARY_DISCLOSURE.XLSM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r03.sr.local\BSTax\Documents%20and%20Settings\adamf\Local%20Settings\Temporary%20Internet%20Files\Standard%20Checklists%202006%20v3.XLT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ia-sql-2012r2\HowNowData\MYOB%20Doc%20Mgr\DM%20Checked%20Out\256705_2-TKDA%20-%202014%20Workpapers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r03.sr.local\BSTax\Users\paulhareb\AppData\Local\Microsoft\Windows\Temporary%20Internet%20Files\Content.Outlook\FM8OU95P\ABL-%233314645-v2-LIPSCHUTZ_-_1035658_-_22_JANUARY.XLSM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gnyteDrive\enec\BSTax\2017\Imagine%20Accounting\Kupferman%20Group\J%20&amp;%20S%20Kuperman%20Family%20Trust\04.%20Reports\03.%20J%20&amp;%20S%20Kupferman%20Family%20Trust%20-%20Workpapers%20FY%202017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hashtax.sharepoint.com/My%20Drive/JHK%20Clients%20updated/Prep%20Productions/Prep%20Productions%20Pty%20Ltd/Working%20Papers/2018/Prep%20Production_Prejune%20Review%202018/Prep%20Production%20Prejune%20Workpaper.xls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My%20Drive\JHK%20Clients%20updated\Prep%20Productions\Prep%20Productions%20Pty%20Ltd\Working%20Papers\2018\Prep%20Production_Prejune%20Review%202018\Prep%20Production%20Prejune%20Workpaper.xls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r03.sr.local\BSTax\Documents%20and%20Settings\christopherl\Desktop\Documents\Hire%20Purchase%20Rule%20of%2078%20Calculator.xls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microsoft.com/office/2006/relationships/xlExternalLinkPath/xlPathMissing" Target="Standard%20Work%20Papers%202006%20v41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microsoft.com/office/2006/relationships/xlExternalLinkPath/xlPathMissing" Target="Standard%20Checklists%202007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015"/>
      <sheetName val="2014"/>
      <sheetName val="2013"/>
      <sheetName val="2012"/>
      <sheetName val="2011"/>
      <sheetName val="10 rental"/>
      <sheetName val="Home"/>
      <sheetName val="Drop list"/>
      <sheetName val="Watkinson16-0513 Depreciation r"/>
    </sheetNames>
    <sheetDataSet>
      <sheetData sheetId="0"/>
      <sheetData sheetId="1"/>
      <sheetData sheetId="2"/>
      <sheetData sheetId="3"/>
      <sheetData sheetId="4">
        <row r="10">
          <cell r="T10">
            <v>0</v>
          </cell>
        </row>
      </sheetData>
      <sheetData sheetId="5">
        <row r="2">
          <cell r="G2" t="str">
            <v>Entry required in yellow cells only</v>
          </cell>
          <cell r="H2">
            <v>0</v>
          </cell>
          <cell r="I2">
            <v>0</v>
          </cell>
          <cell r="K2">
            <v>0</v>
          </cell>
          <cell r="O2">
            <v>0</v>
          </cell>
          <cell r="P2">
            <v>0</v>
          </cell>
        </row>
        <row r="3">
          <cell r="G3" t="str">
            <v>No entry in grey cells</v>
          </cell>
          <cell r="H3">
            <v>0</v>
          </cell>
          <cell r="I3">
            <v>0</v>
          </cell>
          <cell r="K3">
            <v>0</v>
          </cell>
          <cell r="O3">
            <v>0</v>
          </cell>
          <cell r="P3">
            <v>0</v>
          </cell>
        </row>
        <row r="4">
          <cell r="B4">
            <v>39995</v>
          </cell>
          <cell r="D4">
            <v>40359</v>
          </cell>
          <cell r="P4">
            <v>0</v>
          </cell>
        </row>
        <row r="5">
          <cell r="B5">
            <v>365</v>
          </cell>
        </row>
        <row r="7">
          <cell r="G7" t="str">
            <v>DISPOSALS</v>
          </cell>
          <cell r="H7">
            <v>0</v>
          </cell>
          <cell r="I7">
            <v>0</v>
          </cell>
          <cell r="J7">
            <v>0</v>
          </cell>
          <cell r="K7" t="str">
            <v>ACQUISITIONS</v>
          </cell>
          <cell r="L7">
            <v>0</v>
          </cell>
          <cell r="M7" t="str">
            <v>DECLINE IN VALUE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</row>
        <row r="8">
          <cell r="D8" t="str">
            <v>Original cost</v>
          </cell>
          <cell r="F8" t="str">
            <v>OWDV</v>
          </cell>
          <cell r="G8" t="str">
            <v>Date</v>
          </cell>
          <cell r="H8" t="str">
            <v>Proceeds</v>
          </cell>
          <cell r="I8" t="str">
            <v>Assessable</v>
          </cell>
          <cell r="J8" t="str">
            <v>Deductible</v>
          </cell>
          <cell r="K8" t="str">
            <v>Date</v>
          </cell>
          <cell r="L8" t="str">
            <v>Cost</v>
          </cell>
          <cell r="M8" t="str">
            <v>Value for depreciation</v>
          </cell>
          <cell r="O8" t="str">
            <v>Rate %</v>
          </cell>
          <cell r="P8" t="str">
            <v>PC(1) or DV(2)</v>
          </cell>
          <cell r="Q8" t="str">
            <v>No of days held</v>
          </cell>
          <cell r="R8" t="str">
            <v>Decline in value</v>
          </cell>
          <cell r="T8" t="str">
            <v>CWDV</v>
          </cell>
        </row>
        <row r="9">
          <cell r="D9">
            <v>0</v>
          </cell>
          <cell r="F9">
            <v>0</v>
          </cell>
          <cell r="G9">
            <v>0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T9">
            <v>0</v>
          </cell>
        </row>
        <row r="10">
          <cell r="D10">
            <v>18000</v>
          </cell>
          <cell r="F10">
            <v>3262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3262</v>
          </cell>
          <cell r="O10">
            <v>1</v>
          </cell>
          <cell r="P10">
            <v>2</v>
          </cell>
          <cell r="Q10">
            <v>365</v>
          </cell>
          <cell r="R10">
            <v>3262</v>
          </cell>
          <cell r="T10">
            <v>0</v>
          </cell>
        </row>
        <row r="11">
          <cell r="D11">
            <v>1626</v>
          </cell>
          <cell r="F11">
            <v>833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833</v>
          </cell>
          <cell r="O11">
            <v>1</v>
          </cell>
          <cell r="P11">
            <v>2</v>
          </cell>
          <cell r="Q11">
            <v>365</v>
          </cell>
          <cell r="R11">
            <v>833</v>
          </cell>
          <cell r="T11">
            <v>0</v>
          </cell>
        </row>
        <row r="12">
          <cell r="D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40123</v>
          </cell>
          <cell r="L12">
            <v>919.8</v>
          </cell>
          <cell r="M12">
            <v>919.8</v>
          </cell>
          <cell r="O12">
            <v>0.15</v>
          </cell>
          <cell r="P12">
            <v>2</v>
          </cell>
          <cell r="Q12">
            <v>237</v>
          </cell>
          <cell r="R12">
            <v>90</v>
          </cell>
          <cell r="T12">
            <v>829.8</v>
          </cell>
        </row>
        <row r="13">
          <cell r="D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40123</v>
          </cell>
          <cell r="L13">
            <v>366.66</v>
          </cell>
          <cell r="M13">
            <v>366.66</v>
          </cell>
          <cell r="O13">
            <v>0.15</v>
          </cell>
          <cell r="P13">
            <v>2</v>
          </cell>
          <cell r="Q13">
            <v>237</v>
          </cell>
          <cell r="R13">
            <v>36</v>
          </cell>
          <cell r="T13">
            <v>330.66</v>
          </cell>
        </row>
        <row r="14">
          <cell r="D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40123</v>
          </cell>
          <cell r="L14">
            <v>35.28</v>
          </cell>
          <cell r="M14">
            <v>35.28</v>
          </cell>
          <cell r="O14">
            <v>1</v>
          </cell>
          <cell r="P14">
            <v>2</v>
          </cell>
          <cell r="Q14">
            <v>237</v>
          </cell>
          <cell r="R14">
            <v>23</v>
          </cell>
          <cell r="T14">
            <v>12.280000000000001</v>
          </cell>
        </row>
        <row r="15">
          <cell r="D15">
            <v>0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  <cell r="K15">
            <v>40123</v>
          </cell>
          <cell r="L15">
            <v>46.42</v>
          </cell>
          <cell r="M15">
            <v>46.42</v>
          </cell>
          <cell r="O15">
            <v>1</v>
          </cell>
          <cell r="P15">
            <v>2</v>
          </cell>
          <cell r="Q15">
            <v>237</v>
          </cell>
          <cell r="R15">
            <v>30</v>
          </cell>
          <cell r="T15">
            <v>16.420000000000002</v>
          </cell>
        </row>
        <row r="16">
          <cell r="D16">
            <v>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40123</v>
          </cell>
          <cell r="L16">
            <v>87.29</v>
          </cell>
          <cell r="M16">
            <v>87.29</v>
          </cell>
          <cell r="O16">
            <v>1</v>
          </cell>
          <cell r="P16">
            <v>2</v>
          </cell>
          <cell r="Q16">
            <v>237</v>
          </cell>
          <cell r="R16">
            <v>57</v>
          </cell>
          <cell r="T16">
            <v>30.290000000000006</v>
          </cell>
        </row>
        <row r="17">
          <cell r="D17">
            <v>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40123</v>
          </cell>
          <cell r="L17">
            <v>264.60000000000002</v>
          </cell>
          <cell r="M17">
            <v>264.60000000000002</v>
          </cell>
          <cell r="O17">
            <v>0.15</v>
          </cell>
          <cell r="P17">
            <v>2</v>
          </cell>
          <cell r="Q17">
            <v>237</v>
          </cell>
          <cell r="R17">
            <v>26</v>
          </cell>
          <cell r="T17">
            <v>238.60000000000002</v>
          </cell>
        </row>
        <row r="18">
          <cell r="D18">
            <v>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40123</v>
          </cell>
          <cell r="L18">
            <v>478.8</v>
          </cell>
          <cell r="M18">
            <v>478.8</v>
          </cell>
          <cell r="O18">
            <v>0.15</v>
          </cell>
          <cell r="P18">
            <v>2</v>
          </cell>
          <cell r="Q18">
            <v>237</v>
          </cell>
          <cell r="R18">
            <v>47</v>
          </cell>
          <cell r="T18">
            <v>431.8</v>
          </cell>
        </row>
        <row r="19">
          <cell r="D19">
            <v>0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40123</v>
          </cell>
          <cell r="L19">
            <v>28.83</v>
          </cell>
          <cell r="M19">
            <v>28.83</v>
          </cell>
          <cell r="O19">
            <v>1</v>
          </cell>
          <cell r="P19">
            <v>2</v>
          </cell>
          <cell r="Q19">
            <v>237</v>
          </cell>
          <cell r="R19">
            <v>28.83</v>
          </cell>
          <cell r="T19">
            <v>0</v>
          </cell>
        </row>
        <row r="20">
          <cell r="D20">
            <v>0</v>
          </cell>
          <cell r="F20">
            <v>0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  <cell r="K20">
            <v>40123</v>
          </cell>
          <cell r="L20">
            <v>21.22</v>
          </cell>
          <cell r="M20">
            <v>21.22</v>
          </cell>
          <cell r="O20">
            <v>1</v>
          </cell>
          <cell r="P20">
            <v>2</v>
          </cell>
          <cell r="Q20">
            <v>237</v>
          </cell>
          <cell r="R20">
            <v>21.22</v>
          </cell>
          <cell r="T20">
            <v>0</v>
          </cell>
        </row>
        <row r="21">
          <cell r="D21">
            <v>0</v>
          </cell>
          <cell r="F21">
            <v>0</v>
          </cell>
          <cell r="G21">
            <v>0</v>
          </cell>
          <cell r="H21">
            <v>0</v>
          </cell>
          <cell r="I21">
            <v>0</v>
          </cell>
          <cell r="J21">
            <v>0</v>
          </cell>
          <cell r="K21">
            <v>40123</v>
          </cell>
          <cell r="L21">
            <v>250.74</v>
          </cell>
          <cell r="M21">
            <v>250.74</v>
          </cell>
          <cell r="O21">
            <v>0.15</v>
          </cell>
          <cell r="P21">
            <v>2</v>
          </cell>
          <cell r="Q21">
            <v>237</v>
          </cell>
          <cell r="R21">
            <v>24</v>
          </cell>
          <cell r="T21">
            <v>226.74</v>
          </cell>
        </row>
        <row r="22">
          <cell r="D22">
            <v>0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40123</v>
          </cell>
          <cell r="L22">
            <v>90.72</v>
          </cell>
          <cell r="M22">
            <v>90.72</v>
          </cell>
          <cell r="O22">
            <v>1</v>
          </cell>
          <cell r="P22">
            <v>2</v>
          </cell>
          <cell r="Q22">
            <v>237</v>
          </cell>
          <cell r="R22">
            <v>59</v>
          </cell>
          <cell r="T22">
            <v>31.72</v>
          </cell>
        </row>
        <row r="23">
          <cell r="D23">
            <v>0</v>
          </cell>
          <cell r="F23">
            <v>0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  <cell r="K23">
            <v>40123</v>
          </cell>
          <cell r="L23">
            <v>119.7</v>
          </cell>
          <cell r="M23">
            <v>119.7</v>
          </cell>
          <cell r="O23">
            <v>0.15</v>
          </cell>
          <cell r="P23">
            <v>2</v>
          </cell>
          <cell r="Q23">
            <v>237</v>
          </cell>
          <cell r="R23">
            <v>12</v>
          </cell>
          <cell r="T23">
            <v>107.7</v>
          </cell>
        </row>
        <row r="24">
          <cell r="D24">
            <v>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40123</v>
          </cell>
          <cell r="L24">
            <v>842.94</v>
          </cell>
          <cell r="M24">
            <v>842.94</v>
          </cell>
          <cell r="O24">
            <v>0.4</v>
          </cell>
          <cell r="P24">
            <v>2</v>
          </cell>
          <cell r="Q24">
            <v>237</v>
          </cell>
          <cell r="R24">
            <v>219</v>
          </cell>
          <cell r="T24">
            <v>623.94000000000005</v>
          </cell>
        </row>
        <row r="25">
          <cell r="D25">
            <v>0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40123</v>
          </cell>
          <cell r="L25">
            <v>177.66</v>
          </cell>
          <cell r="M25">
            <v>177.66</v>
          </cell>
          <cell r="O25">
            <v>0.15</v>
          </cell>
          <cell r="P25">
            <v>2</v>
          </cell>
          <cell r="Q25">
            <v>237</v>
          </cell>
          <cell r="R25">
            <v>17</v>
          </cell>
          <cell r="T25">
            <v>160.66</v>
          </cell>
        </row>
        <row r="26">
          <cell r="D26">
            <v>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40123</v>
          </cell>
          <cell r="L26">
            <v>111.89</v>
          </cell>
          <cell r="M26">
            <v>111.89</v>
          </cell>
          <cell r="O26">
            <v>0.4</v>
          </cell>
          <cell r="P26">
            <v>2</v>
          </cell>
          <cell r="Q26">
            <v>237</v>
          </cell>
          <cell r="R26">
            <v>29</v>
          </cell>
          <cell r="T26">
            <v>82.89</v>
          </cell>
        </row>
        <row r="27">
          <cell r="D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40123</v>
          </cell>
          <cell r="L27">
            <v>119.7</v>
          </cell>
          <cell r="M27">
            <v>119.7</v>
          </cell>
          <cell r="O27">
            <v>0.4</v>
          </cell>
          <cell r="P27">
            <v>2</v>
          </cell>
          <cell r="Q27">
            <v>237</v>
          </cell>
          <cell r="R27">
            <v>31</v>
          </cell>
          <cell r="T27">
            <v>88.7</v>
          </cell>
        </row>
        <row r="28">
          <cell r="D28">
            <v>0</v>
          </cell>
          <cell r="F28">
            <v>0</v>
          </cell>
          <cell r="G28">
            <v>0</v>
          </cell>
          <cell r="H28">
            <v>0</v>
          </cell>
          <cell r="I28">
            <v>0</v>
          </cell>
          <cell r="J28">
            <v>0</v>
          </cell>
          <cell r="K28">
            <v>40123</v>
          </cell>
          <cell r="L28">
            <v>1008</v>
          </cell>
          <cell r="M28">
            <v>1008</v>
          </cell>
          <cell r="O28">
            <v>0.15</v>
          </cell>
          <cell r="P28">
            <v>2</v>
          </cell>
          <cell r="Q28">
            <v>237</v>
          </cell>
          <cell r="R28">
            <v>98</v>
          </cell>
          <cell r="T28">
            <v>910</v>
          </cell>
        </row>
        <row r="29">
          <cell r="D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40123</v>
          </cell>
          <cell r="L29">
            <v>226.8</v>
          </cell>
          <cell r="M29">
            <v>226.8</v>
          </cell>
          <cell r="O29">
            <v>0.15</v>
          </cell>
          <cell r="P29">
            <v>2</v>
          </cell>
          <cell r="Q29">
            <v>237</v>
          </cell>
          <cell r="R29">
            <v>22</v>
          </cell>
          <cell r="T29">
            <v>204.8</v>
          </cell>
        </row>
        <row r="30">
          <cell r="D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40123</v>
          </cell>
          <cell r="L30">
            <v>375.48</v>
          </cell>
          <cell r="M30">
            <v>375.48</v>
          </cell>
          <cell r="O30">
            <v>0.15</v>
          </cell>
          <cell r="P30">
            <v>2</v>
          </cell>
          <cell r="Q30">
            <v>237</v>
          </cell>
          <cell r="R30">
            <v>37</v>
          </cell>
          <cell r="T30">
            <v>338.48</v>
          </cell>
        </row>
        <row r="31">
          <cell r="D31">
            <v>0</v>
          </cell>
          <cell r="F31">
            <v>0</v>
          </cell>
          <cell r="G31">
            <v>0</v>
          </cell>
          <cell r="H31">
            <v>0</v>
          </cell>
          <cell r="I31">
            <v>0</v>
          </cell>
          <cell r="J31">
            <v>0</v>
          </cell>
          <cell r="K31">
            <v>40123</v>
          </cell>
          <cell r="L31">
            <v>50.7</v>
          </cell>
          <cell r="M31">
            <v>50.7</v>
          </cell>
          <cell r="O31">
            <v>1</v>
          </cell>
          <cell r="P31">
            <v>2</v>
          </cell>
          <cell r="Q31">
            <v>237</v>
          </cell>
          <cell r="R31">
            <v>33</v>
          </cell>
          <cell r="T31">
            <v>17.700000000000003</v>
          </cell>
        </row>
        <row r="32">
          <cell r="D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40123</v>
          </cell>
          <cell r="L32">
            <v>46.42</v>
          </cell>
          <cell r="M32">
            <v>46.42</v>
          </cell>
          <cell r="O32">
            <v>1</v>
          </cell>
          <cell r="P32">
            <v>2</v>
          </cell>
          <cell r="Q32">
            <v>237</v>
          </cell>
          <cell r="R32">
            <v>30</v>
          </cell>
          <cell r="T32">
            <v>16.420000000000002</v>
          </cell>
        </row>
        <row r="33">
          <cell r="D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40123</v>
          </cell>
          <cell r="L33">
            <v>65.650000000000006</v>
          </cell>
          <cell r="M33">
            <v>65.650000000000006</v>
          </cell>
          <cell r="O33">
            <v>1</v>
          </cell>
          <cell r="P33">
            <v>2</v>
          </cell>
          <cell r="Q33">
            <v>237</v>
          </cell>
          <cell r="R33">
            <v>43</v>
          </cell>
          <cell r="T33">
            <v>22.650000000000006</v>
          </cell>
        </row>
        <row r="34">
          <cell r="D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40123</v>
          </cell>
          <cell r="L34">
            <v>44.88</v>
          </cell>
          <cell r="M34">
            <v>44.88</v>
          </cell>
          <cell r="O34">
            <v>1</v>
          </cell>
          <cell r="P34">
            <v>2</v>
          </cell>
          <cell r="Q34">
            <v>237</v>
          </cell>
          <cell r="R34">
            <v>29</v>
          </cell>
          <cell r="T34">
            <v>15.880000000000003</v>
          </cell>
        </row>
        <row r="35">
          <cell r="D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40123</v>
          </cell>
          <cell r="L35">
            <v>30.24</v>
          </cell>
          <cell r="M35">
            <v>30.24</v>
          </cell>
          <cell r="O35">
            <v>1</v>
          </cell>
          <cell r="P35">
            <v>2</v>
          </cell>
          <cell r="Q35">
            <v>237</v>
          </cell>
          <cell r="R35">
            <v>20</v>
          </cell>
          <cell r="T35">
            <v>10.239999999999998</v>
          </cell>
        </row>
        <row r="36">
          <cell r="D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40123</v>
          </cell>
          <cell r="L36">
            <v>74.84</v>
          </cell>
          <cell r="M36">
            <v>74.84</v>
          </cell>
          <cell r="O36">
            <v>1</v>
          </cell>
          <cell r="P36">
            <v>2</v>
          </cell>
          <cell r="Q36">
            <v>237</v>
          </cell>
          <cell r="R36">
            <v>49</v>
          </cell>
          <cell r="T36">
            <v>25.840000000000003</v>
          </cell>
        </row>
        <row r="37">
          <cell r="D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40123</v>
          </cell>
          <cell r="L37">
            <v>31.75</v>
          </cell>
          <cell r="M37">
            <v>31.75</v>
          </cell>
          <cell r="O37">
            <v>1</v>
          </cell>
          <cell r="P37">
            <v>2</v>
          </cell>
          <cell r="Q37">
            <v>237</v>
          </cell>
          <cell r="R37">
            <v>21</v>
          </cell>
          <cell r="T37">
            <v>10.75</v>
          </cell>
        </row>
        <row r="38">
          <cell r="D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40123</v>
          </cell>
          <cell r="L38">
            <v>34.5</v>
          </cell>
          <cell r="M38">
            <v>34.5</v>
          </cell>
          <cell r="O38">
            <v>1</v>
          </cell>
          <cell r="P38">
            <v>2</v>
          </cell>
          <cell r="Q38">
            <v>237</v>
          </cell>
          <cell r="R38">
            <v>22</v>
          </cell>
          <cell r="T38">
            <v>12.5</v>
          </cell>
        </row>
        <row r="39">
          <cell r="D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40123</v>
          </cell>
          <cell r="L39">
            <v>34.270000000000003</v>
          </cell>
          <cell r="M39">
            <v>34.270000000000003</v>
          </cell>
          <cell r="O39">
            <v>1</v>
          </cell>
          <cell r="P39">
            <v>2</v>
          </cell>
          <cell r="Q39">
            <v>237</v>
          </cell>
          <cell r="R39">
            <v>22</v>
          </cell>
          <cell r="T39">
            <v>12.270000000000003</v>
          </cell>
        </row>
        <row r="40">
          <cell r="D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40123</v>
          </cell>
          <cell r="L40">
            <v>78.52</v>
          </cell>
          <cell r="M40">
            <v>78.52</v>
          </cell>
          <cell r="O40">
            <v>1</v>
          </cell>
          <cell r="P40">
            <v>2</v>
          </cell>
          <cell r="Q40">
            <v>237</v>
          </cell>
          <cell r="R40">
            <v>51</v>
          </cell>
          <cell r="T40">
            <v>27.519999999999996</v>
          </cell>
        </row>
        <row r="41">
          <cell r="D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40123</v>
          </cell>
          <cell r="L41">
            <v>59.57</v>
          </cell>
          <cell r="M41">
            <v>59.57</v>
          </cell>
          <cell r="O41">
            <v>1</v>
          </cell>
          <cell r="P41">
            <v>2</v>
          </cell>
          <cell r="Q41">
            <v>237</v>
          </cell>
          <cell r="R41">
            <v>39</v>
          </cell>
          <cell r="T41">
            <v>20.57</v>
          </cell>
        </row>
        <row r="42">
          <cell r="D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40123</v>
          </cell>
          <cell r="L42">
            <v>61.24</v>
          </cell>
          <cell r="M42">
            <v>61.24</v>
          </cell>
          <cell r="O42">
            <v>1</v>
          </cell>
          <cell r="P42">
            <v>2</v>
          </cell>
          <cell r="Q42">
            <v>237</v>
          </cell>
          <cell r="R42">
            <v>40</v>
          </cell>
          <cell r="T42">
            <v>21.240000000000002</v>
          </cell>
        </row>
        <row r="43">
          <cell r="D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40123</v>
          </cell>
          <cell r="L43">
            <v>16.13</v>
          </cell>
          <cell r="M43">
            <v>16.13</v>
          </cell>
          <cell r="O43">
            <v>1</v>
          </cell>
          <cell r="P43">
            <v>2</v>
          </cell>
          <cell r="Q43">
            <v>237</v>
          </cell>
          <cell r="R43">
            <v>16.13</v>
          </cell>
          <cell r="T43">
            <v>0</v>
          </cell>
        </row>
        <row r="44">
          <cell r="D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40123</v>
          </cell>
          <cell r="L44">
            <v>17.89</v>
          </cell>
          <cell r="M44">
            <v>17.89</v>
          </cell>
          <cell r="O44">
            <v>1</v>
          </cell>
          <cell r="P44">
            <v>2</v>
          </cell>
          <cell r="Q44">
            <v>237</v>
          </cell>
          <cell r="R44">
            <v>17.89</v>
          </cell>
          <cell r="T44">
            <v>0</v>
          </cell>
        </row>
        <row r="45">
          <cell r="D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40123</v>
          </cell>
          <cell r="L45">
            <v>439.74</v>
          </cell>
          <cell r="M45">
            <v>439.74</v>
          </cell>
          <cell r="O45">
            <v>0.4</v>
          </cell>
          <cell r="P45">
            <v>2</v>
          </cell>
          <cell r="Q45">
            <v>237</v>
          </cell>
          <cell r="R45">
            <v>114</v>
          </cell>
          <cell r="T45">
            <v>325.74</v>
          </cell>
        </row>
        <row r="46">
          <cell r="D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40123</v>
          </cell>
          <cell r="L46">
            <v>88.2</v>
          </cell>
          <cell r="M46">
            <v>88.2</v>
          </cell>
          <cell r="O46">
            <v>1</v>
          </cell>
          <cell r="P46">
            <v>2</v>
          </cell>
          <cell r="Q46">
            <v>237</v>
          </cell>
          <cell r="R46">
            <v>57</v>
          </cell>
          <cell r="T46">
            <v>31.200000000000003</v>
          </cell>
        </row>
        <row r="47">
          <cell r="D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40123</v>
          </cell>
          <cell r="L47">
            <v>680.4</v>
          </cell>
          <cell r="M47">
            <v>680.4</v>
          </cell>
          <cell r="O47">
            <v>0.15</v>
          </cell>
          <cell r="P47">
            <v>2</v>
          </cell>
          <cell r="Q47">
            <v>237</v>
          </cell>
          <cell r="R47">
            <v>66</v>
          </cell>
          <cell r="T47">
            <v>614.4</v>
          </cell>
        </row>
        <row r="48">
          <cell r="D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40123</v>
          </cell>
          <cell r="L48">
            <v>201.6</v>
          </cell>
          <cell r="M48">
            <v>201.6</v>
          </cell>
          <cell r="O48">
            <v>0.15</v>
          </cell>
          <cell r="P48">
            <v>2</v>
          </cell>
          <cell r="Q48">
            <v>237</v>
          </cell>
          <cell r="R48">
            <v>20</v>
          </cell>
          <cell r="T48">
            <v>181.6</v>
          </cell>
        </row>
        <row r="49">
          <cell r="D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40123</v>
          </cell>
          <cell r="L49">
            <v>375.48</v>
          </cell>
          <cell r="M49">
            <v>375.48</v>
          </cell>
          <cell r="O49">
            <v>0.15</v>
          </cell>
          <cell r="P49">
            <v>2</v>
          </cell>
          <cell r="Q49">
            <v>237</v>
          </cell>
          <cell r="R49">
            <v>37</v>
          </cell>
          <cell r="T49">
            <v>338.48</v>
          </cell>
        </row>
        <row r="50">
          <cell r="D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40123</v>
          </cell>
          <cell r="L50">
            <v>50.7</v>
          </cell>
          <cell r="M50">
            <v>50.7</v>
          </cell>
          <cell r="O50">
            <v>1</v>
          </cell>
          <cell r="P50">
            <v>2</v>
          </cell>
          <cell r="Q50">
            <v>237</v>
          </cell>
          <cell r="R50">
            <v>33</v>
          </cell>
          <cell r="T50">
            <v>17.700000000000003</v>
          </cell>
        </row>
        <row r="51">
          <cell r="D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40123</v>
          </cell>
          <cell r="L51">
            <v>33.35</v>
          </cell>
          <cell r="M51">
            <v>33.35</v>
          </cell>
          <cell r="O51">
            <v>1</v>
          </cell>
          <cell r="P51">
            <v>2</v>
          </cell>
          <cell r="Q51">
            <v>237</v>
          </cell>
          <cell r="R51">
            <v>22</v>
          </cell>
          <cell r="T51">
            <v>11.350000000000001</v>
          </cell>
        </row>
        <row r="52">
          <cell r="D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40123</v>
          </cell>
          <cell r="L52">
            <v>65.650000000000006</v>
          </cell>
          <cell r="M52">
            <v>65.650000000000006</v>
          </cell>
          <cell r="O52">
            <v>1</v>
          </cell>
          <cell r="P52">
            <v>2</v>
          </cell>
          <cell r="Q52">
            <v>237</v>
          </cell>
          <cell r="R52">
            <v>43</v>
          </cell>
          <cell r="T52">
            <v>22.650000000000006</v>
          </cell>
        </row>
        <row r="53">
          <cell r="D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40123</v>
          </cell>
          <cell r="L53">
            <v>44.88</v>
          </cell>
          <cell r="M53">
            <v>44.88</v>
          </cell>
          <cell r="O53">
            <v>1</v>
          </cell>
          <cell r="P53">
            <v>2</v>
          </cell>
          <cell r="Q53">
            <v>237</v>
          </cell>
          <cell r="R53">
            <v>29</v>
          </cell>
          <cell r="T53">
            <v>15.880000000000003</v>
          </cell>
        </row>
        <row r="54">
          <cell r="D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40123</v>
          </cell>
          <cell r="L54">
            <v>20.76</v>
          </cell>
          <cell r="M54">
            <v>20.76</v>
          </cell>
          <cell r="O54">
            <v>1</v>
          </cell>
          <cell r="P54">
            <v>2</v>
          </cell>
          <cell r="Q54">
            <v>237</v>
          </cell>
          <cell r="R54">
            <v>20.76</v>
          </cell>
          <cell r="T54">
            <v>0</v>
          </cell>
        </row>
        <row r="55">
          <cell r="D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40123</v>
          </cell>
          <cell r="L55">
            <v>59.19</v>
          </cell>
          <cell r="M55">
            <v>59.19</v>
          </cell>
          <cell r="O55">
            <v>1</v>
          </cell>
          <cell r="P55">
            <v>2</v>
          </cell>
          <cell r="Q55">
            <v>237</v>
          </cell>
          <cell r="R55">
            <v>38</v>
          </cell>
          <cell r="T55">
            <v>21.189999999999998</v>
          </cell>
        </row>
        <row r="56">
          <cell r="D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40123</v>
          </cell>
          <cell r="L56">
            <v>31.5</v>
          </cell>
          <cell r="M56">
            <v>31.5</v>
          </cell>
          <cell r="O56">
            <v>1</v>
          </cell>
          <cell r="P56">
            <v>2</v>
          </cell>
          <cell r="Q56">
            <v>237</v>
          </cell>
          <cell r="R56">
            <v>20</v>
          </cell>
          <cell r="T56">
            <v>11.5</v>
          </cell>
        </row>
        <row r="57">
          <cell r="D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40123</v>
          </cell>
          <cell r="L57">
            <v>34.5</v>
          </cell>
          <cell r="M57">
            <v>34.5</v>
          </cell>
          <cell r="O57">
            <v>1</v>
          </cell>
          <cell r="P57">
            <v>2</v>
          </cell>
          <cell r="Q57">
            <v>237</v>
          </cell>
          <cell r="R57">
            <v>22</v>
          </cell>
          <cell r="T57">
            <v>12.5</v>
          </cell>
        </row>
        <row r="58">
          <cell r="D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40123</v>
          </cell>
          <cell r="L58">
            <v>16.13</v>
          </cell>
          <cell r="M58">
            <v>16.13</v>
          </cell>
          <cell r="O58">
            <v>1</v>
          </cell>
          <cell r="P58">
            <v>2</v>
          </cell>
          <cell r="Q58">
            <v>237</v>
          </cell>
          <cell r="R58">
            <v>16.13</v>
          </cell>
          <cell r="T58">
            <v>0</v>
          </cell>
        </row>
        <row r="59">
          <cell r="D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40123</v>
          </cell>
          <cell r="L59">
            <v>17.89</v>
          </cell>
          <cell r="M59">
            <v>17.89</v>
          </cell>
          <cell r="O59">
            <v>1</v>
          </cell>
          <cell r="P59">
            <v>2</v>
          </cell>
          <cell r="Q59">
            <v>237</v>
          </cell>
          <cell r="R59">
            <v>17.89</v>
          </cell>
          <cell r="T59">
            <v>0</v>
          </cell>
        </row>
        <row r="60">
          <cell r="D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40123</v>
          </cell>
          <cell r="L60">
            <v>472.5</v>
          </cell>
          <cell r="M60">
            <v>472.5</v>
          </cell>
          <cell r="O60">
            <v>0.4</v>
          </cell>
          <cell r="P60">
            <v>2</v>
          </cell>
          <cell r="Q60">
            <v>237</v>
          </cell>
          <cell r="R60">
            <v>123</v>
          </cell>
          <cell r="T60">
            <v>349.5</v>
          </cell>
        </row>
        <row r="61">
          <cell r="D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40123</v>
          </cell>
          <cell r="L61">
            <v>201.6</v>
          </cell>
          <cell r="M61">
            <v>201.6</v>
          </cell>
          <cell r="O61">
            <v>0.4</v>
          </cell>
          <cell r="P61">
            <v>2</v>
          </cell>
          <cell r="Q61">
            <v>237</v>
          </cell>
          <cell r="R61">
            <v>52</v>
          </cell>
          <cell r="T61">
            <v>149.6</v>
          </cell>
        </row>
        <row r="62">
          <cell r="D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40123</v>
          </cell>
          <cell r="L62">
            <v>537.5</v>
          </cell>
          <cell r="M62">
            <v>537.5</v>
          </cell>
          <cell r="O62">
            <v>0.25</v>
          </cell>
          <cell r="P62">
            <v>2</v>
          </cell>
          <cell r="Q62">
            <v>237</v>
          </cell>
          <cell r="R62">
            <v>87</v>
          </cell>
          <cell r="T62">
            <v>450.5</v>
          </cell>
        </row>
        <row r="63">
          <cell r="D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40123</v>
          </cell>
          <cell r="L63">
            <v>550</v>
          </cell>
          <cell r="M63">
            <v>550</v>
          </cell>
          <cell r="O63">
            <v>0.25</v>
          </cell>
          <cell r="P63">
            <v>2</v>
          </cell>
          <cell r="Q63">
            <v>237</v>
          </cell>
          <cell r="R63">
            <v>89</v>
          </cell>
          <cell r="T63">
            <v>461</v>
          </cell>
        </row>
        <row r="64">
          <cell r="D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40123</v>
          </cell>
          <cell r="L64">
            <v>2380</v>
          </cell>
          <cell r="M64">
            <v>2380</v>
          </cell>
          <cell r="O64">
            <v>0.33329999999999999</v>
          </cell>
          <cell r="P64">
            <v>2</v>
          </cell>
          <cell r="Q64">
            <v>237</v>
          </cell>
          <cell r="R64">
            <v>515</v>
          </cell>
          <cell r="T64">
            <v>1865</v>
          </cell>
        </row>
        <row r="65">
          <cell r="D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40123</v>
          </cell>
          <cell r="L65">
            <v>200</v>
          </cell>
          <cell r="M65">
            <v>200</v>
          </cell>
          <cell r="O65">
            <v>2.5000000000000001E-2</v>
          </cell>
          <cell r="P65">
            <v>2</v>
          </cell>
          <cell r="Q65">
            <v>237</v>
          </cell>
          <cell r="R65">
            <v>3</v>
          </cell>
          <cell r="T65">
            <v>197</v>
          </cell>
        </row>
        <row r="66">
          <cell r="D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40123</v>
          </cell>
          <cell r="L66">
            <v>3335</v>
          </cell>
          <cell r="M66">
            <v>3335</v>
          </cell>
          <cell r="O66">
            <v>2.5000000000000001E-2</v>
          </cell>
          <cell r="P66">
            <v>2</v>
          </cell>
          <cell r="Q66">
            <v>237</v>
          </cell>
          <cell r="R66">
            <v>54</v>
          </cell>
          <cell r="T66">
            <v>3281</v>
          </cell>
        </row>
        <row r="67">
          <cell r="D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40123</v>
          </cell>
          <cell r="L67">
            <v>2532</v>
          </cell>
          <cell r="M67">
            <v>2532</v>
          </cell>
          <cell r="O67">
            <v>0.25</v>
          </cell>
          <cell r="P67">
            <v>2</v>
          </cell>
          <cell r="Q67">
            <v>237</v>
          </cell>
          <cell r="R67">
            <v>411</v>
          </cell>
          <cell r="T67">
            <v>2121</v>
          </cell>
        </row>
        <row r="68">
          <cell r="D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40123</v>
          </cell>
          <cell r="L68">
            <v>20</v>
          </cell>
          <cell r="M68">
            <v>20</v>
          </cell>
          <cell r="O68">
            <v>1</v>
          </cell>
          <cell r="P68">
            <v>2</v>
          </cell>
          <cell r="Q68">
            <v>237</v>
          </cell>
          <cell r="R68">
            <v>20</v>
          </cell>
          <cell r="T68">
            <v>0</v>
          </cell>
        </row>
        <row r="69">
          <cell r="D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40123</v>
          </cell>
          <cell r="L69">
            <v>15</v>
          </cell>
          <cell r="M69">
            <v>15</v>
          </cell>
          <cell r="O69">
            <v>1</v>
          </cell>
          <cell r="P69">
            <v>2</v>
          </cell>
          <cell r="Q69">
            <v>237</v>
          </cell>
          <cell r="R69">
            <v>15</v>
          </cell>
          <cell r="T69">
            <v>0</v>
          </cell>
        </row>
        <row r="70">
          <cell r="D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40123</v>
          </cell>
          <cell r="L70">
            <v>33</v>
          </cell>
          <cell r="M70">
            <v>33</v>
          </cell>
          <cell r="O70">
            <v>1</v>
          </cell>
          <cell r="P70">
            <v>2</v>
          </cell>
          <cell r="Q70">
            <v>237</v>
          </cell>
          <cell r="R70">
            <v>21</v>
          </cell>
          <cell r="T70">
            <v>12</v>
          </cell>
        </row>
        <row r="71">
          <cell r="D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40123</v>
          </cell>
          <cell r="L71">
            <v>18</v>
          </cell>
          <cell r="M71">
            <v>18</v>
          </cell>
          <cell r="O71">
            <v>1</v>
          </cell>
          <cell r="P71">
            <v>2</v>
          </cell>
          <cell r="Q71">
            <v>237</v>
          </cell>
          <cell r="R71">
            <v>18</v>
          </cell>
          <cell r="T71">
            <v>0</v>
          </cell>
        </row>
        <row r="72">
          <cell r="D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40123</v>
          </cell>
          <cell r="L72">
            <v>54</v>
          </cell>
          <cell r="M72">
            <v>54</v>
          </cell>
          <cell r="O72">
            <v>1</v>
          </cell>
          <cell r="P72">
            <v>2</v>
          </cell>
          <cell r="Q72">
            <v>237</v>
          </cell>
          <cell r="R72">
            <v>54</v>
          </cell>
          <cell r="T72">
            <v>0</v>
          </cell>
        </row>
        <row r="73">
          <cell r="D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40123</v>
          </cell>
          <cell r="L73">
            <v>100</v>
          </cell>
          <cell r="M73">
            <v>100</v>
          </cell>
          <cell r="O73">
            <v>1</v>
          </cell>
          <cell r="P73">
            <v>2</v>
          </cell>
          <cell r="Q73">
            <v>237</v>
          </cell>
          <cell r="R73">
            <v>100</v>
          </cell>
          <cell r="T73">
            <v>0</v>
          </cell>
        </row>
        <row r="74">
          <cell r="D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40123</v>
          </cell>
          <cell r="L74">
            <v>200</v>
          </cell>
          <cell r="M74">
            <v>200</v>
          </cell>
          <cell r="O74">
            <v>1</v>
          </cell>
          <cell r="P74">
            <v>2</v>
          </cell>
          <cell r="Q74">
            <v>237</v>
          </cell>
          <cell r="R74">
            <v>200</v>
          </cell>
          <cell r="T74">
            <v>0</v>
          </cell>
        </row>
        <row r="75">
          <cell r="D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40123</v>
          </cell>
          <cell r="L75">
            <v>200</v>
          </cell>
          <cell r="M75">
            <v>200</v>
          </cell>
          <cell r="O75">
            <v>1</v>
          </cell>
          <cell r="P75">
            <v>2</v>
          </cell>
          <cell r="Q75">
            <v>237</v>
          </cell>
          <cell r="R75">
            <v>200</v>
          </cell>
          <cell r="T75">
            <v>0</v>
          </cell>
        </row>
        <row r="76">
          <cell r="D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40123</v>
          </cell>
          <cell r="L76">
            <v>300</v>
          </cell>
          <cell r="M76">
            <v>300</v>
          </cell>
          <cell r="O76">
            <v>1</v>
          </cell>
          <cell r="P76">
            <v>2</v>
          </cell>
          <cell r="Q76">
            <v>237</v>
          </cell>
          <cell r="R76">
            <v>300</v>
          </cell>
          <cell r="T76">
            <v>0</v>
          </cell>
        </row>
        <row r="77">
          <cell r="D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O77">
            <v>0</v>
          </cell>
          <cell r="P77">
            <v>0</v>
          </cell>
          <cell r="Q77">
            <v>365</v>
          </cell>
          <cell r="R77">
            <v>0</v>
          </cell>
          <cell r="T77">
            <v>0</v>
          </cell>
        </row>
        <row r="78">
          <cell r="D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O78">
            <v>0</v>
          </cell>
          <cell r="P78">
            <v>0</v>
          </cell>
          <cell r="Q78">
            <v>365</v>
          </cell>
          <cell r="R78">
            <v>0</v>
          </cell>
          <cell r="T78">
            <v>0</v>
          </cell>
        </row>
        <row r="79">
          <cell r="D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T79">
            <v>0</v>
          </cell>
        </row>
        <row r="80">
          <cell r="D80">
            <v>19626</v>
          </cell>
          <cell r="F80">
            <v>4095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0</v>
          </cell>
          <cell r="L80">
            <v>19527.7</v>
          </cell>
          <cell r="M80">
            <v>23622.699999999997</v>
          </cell>
          <cell r="O80">
            <v>0</v>
          </cell>
          <cell r="P80">
            <v>0</v>
          </cell>
          <cell r="Q80">
            <v>0</v>
          </cell>
          <cell r="R80">
            <v>8252.8500000000022</v>
          </cell>
          <cell r="T80">
            <v>15369.849999999999</v>
          </cell>
        </row>
        <row r="81">
          <cell r="G81">
            <v>0</v>
          </cell>
          <cell r="K81">
            <v>0</v>
          </cell>
          <cell r="O81">
            <v>0</v>
          </cell>
          <cell r="P81">
            <v>0</v>
          </cell>
          <cell r="R81">
            <v>0</v>
          </cell>
        </row>
        <row r="82">
          <cell r="G82">
            <v>0</v>
          </cell>
          <cell r="K82">
            <v>0</v>
          </cell>
          <cell r="L82" t="e">
            <v>#REF!</v>
          </cell>
          <cell r="M82">
            <v>0</v>
          </cell>
          <cell r="O82">
            <v>0</v>
          </cell>
          <cell r="P82">
            <v>0</v>
          </cell>
          <cell r="Q82">
            <v>0</v>
          </cell>
          <cell r="R82">
            <v>8252.8500000000022</v>
          </cell>
          <cell r="T82">
            <v>0</v>
          </cell>
        </row>
        <row r="83"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T83">
            <v>0</v>
          </cell>
        </row>
        <row r="84"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O84">
            <v>0</v>
          </cell>
          <cell r="P84">
            <v>0</v>
          </cell>
          <cell r="Q84">
            <v>0</v>
          </cell>
          <cell r="R84">
            <v>8252.8500000000022</v>
          </cell>
          <cell r="T84">
            <v>0</v>
          </cell>
        </row>
        <row r="85"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T85">
            <v>0</v>
          </cell>
        </row>
        <row r="86"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T86">
            <v>0</v>
          </cell>
        </row>
        <row r="87"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T87">
            <v>0</v>
          </cell>
        </row>
        <row r="88"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T88">
            <v>0</v>
          </cell>
        </row>
        <row r="89"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T89">
            <v>0</v>
          </cell>
        </row>
        <row r="90">
          <cell r="G90">
            <v>0</v>
          </cell>
          <cell r="K90">
            <v>0</v>
          </cell>
          <cell r="O90">
            <v>0</v>
          </cell>
          <cell r="P90">
            <v>0</v>
          </cell>
        </row>
        <row r="91">
          <cell r="G91">
            <v>0</v>
          </cell>
          <cell r="K91">
            <v>0</v>
          </cell>
          <cell r="O91">
            <v>0</v>
          </cell>
          <cell r="P91">
            <v>0</v>
          </cell>
        </row>
        <row r="92">
          <cell r="G92">
            <v>0</v>
          </cell>
          <cell r="K92">
            <v>0</v>
          </cell>
          <cell r="O92">
            <v>0</v>
          </cell>
          <cell r="P92">
            <v>0</v>
          </cell>
        </row>
        <row r="93">
          <cell r="G93">
            <v>0</v>
          </cell>
          <cell r="K93">
            <v>0</v>
          </cell>
          <cell r="O93">
            <v>0</v>
          </cell>
          <cell r="P93">
            <v>0</v>
          </cell>
        </row>
        <row r="94">
          <cell r="G94">
            <v>0</v>
          </cell>
          <cell r="K94">
            <v>0</v>
          </cell>
          <cell r="O94">
            <v>0</v>
          </cell>
          <cell r="P94">
            <v>0</v>
          </cell>
        </row>
        <row r="95">
          <cell r="G95">
            <v>0</v>
          </cell>
          <cell r="K95">
            <v>0</v>
          </cell>
          <cell r="O95">
            <v>0</v>
          </cell>
          <cell r="P95">
            <v>0</v>
          </cell>
        </row>
        <row r="96">
          <cell r="G96">
            <v>0</v>
          </cell>
          <cell r="K96">
            <v>0</v>
          </cell>
          <cell r="O96">
            <v>0</v>
          </cell>
          <cell r="P96">
            <v>0</v>
          </cell>
        </row>
        <row r="97">
          <cell r="G97">
            <v>0</v>
          </cell>
          <cell r="K97">
            <v>0</v>
          </cell>
          <cell r="O97">
            <v>0</v>
          </cell>
          <cell r="P97">
            <v>0</v>
          </cell>
        </row>
        <row r="98">
          <cell r="G98">
            <v>0</v>
          </cell>
          <cell r="K98">
            <v>0</v>
          </cell>
          <cell r="O98">
            <v>0</v>
          </cell>
          <cell r="P98">
            <v>0</v>
          </cell>
        </row>
        <row r="99">
          <cell r="G99">
            <v>0</v>
          </cell>
          <cell r="K99">
            <v>0</v>
          </cell>
          <cell r="O99">
            <v>0</v>
          </cell>
          <cell r="P99">
            <v>0</v>
          </cell>
        </row>
        <row r="100">
          <cell r="G100">
            <v>0</v>
          </cell>
          <cell r="K100">
            <v>0</v>
          </cell>
          <cell r="O100">
            <v>0</v>
          </cell>
          <cell r="P100">
            <v>0</v>
          </cell>
        </row>
        <row r="101">
          <cell r="G101">
            <v>0</v>
          </cell>
          <cell r="K101">
            <v>0</v>
          </cell>
          <cell r="O101">
            <v>0</v>
          </cell>
          <cell r="P101">
            <v>0</v>
          </cell>
        </row>
        <row r="102">
          <cell r="G102">
            <v>0</v>
          </cell>
          <cell r="K102">
            <v>0</v>
          </cell>
          <cell r="O102">
            <v>0</v>
          </cell>
          <cell r="P102">
            <v>0</v>
          </cell>
        </row>
        <row r="103">
          <cell r="G103">
            <v>0</v>
          </cell>
          <cell r="K103">
            <v>0</v>
          </cell>
          <cell r="O103">
            <v>0</v>
          </cell>
          <cell r="P103">
            <v>0</v>
          </cell>
        </row>
        <row r="104">
          <cell r="G104">
            <v>0</v>
          </cell>
          <cell r="K104">
            <v>0</v>
          </cell>
          <cell r="O104">
            <v>0</v>
          </cell>
          <cell r="P104">
            <v>0</v>
          </cell>
        </row>
        <row r="105">
          <cell r="G105">
            <v>0</v>
          </cell>
          <cell r="K105">
            <v>0</v>
          </cell>
          <cell r="O105">
            <v>0</v>
          </cell>
          <cell r="P105">
            <v>0</v>
          </cell>
        </row>
        <row r="106">
          <cell r="G106">
            <v>0</v>
          </cell>
          <cell r="K106">
            <v>0</v>
          </cell>
          <cell r="O106">
            <v>0</v>
          </cell>
          <cell r="P106">
            <v>0</v>
          </cell>
        </row>
        <row r="107">
          <cell r="G107">
            <v>0</v>
          </cell>
          <cell r="K107">
            <v>0</v>
          </cell>
          <cell r="O107">
            <v>0</v>
          </cell>
          <cell r="P107">
            <v>0</v>
          </cell>
        </row>
        <row r="108">
          <cell r="G108">
            <v>0</v>
          </cell>
          <cell r="K108">
            <v>0</v>
          </cell>
          <cell r="O108">
            <v>0</v>
          </cell>
          <cell r="P108">
            <v>0</v>
          </cell>
        </row>
        <row r="109">
          <cell r="G109">
            <v>0</v>
          </cell>
          <cell r="K109">
            <v>0</v>
          </cell>
          <cell r="O109">
            <v>0</v>
          </cell>
          <cell r="P109">
            <v>0</v>
          </cell>
        </row>
        <row r="110">
          <cell r="G110">
            <v>0</v>
          </cell>
          <cell r="K110">
            <v>0</v>
          </cell>
          <cell r="O110">
            <v>0</v>
          </cell>
          <cell r="P110">
            <v>0</v>
          </cell>
        </row>
        <row r="111">
          <cell r="G111">
            <v>0</v>
          </cell>
          <cell r="K111">
            <v>0</v>
          </cell>
          <cell r="O111">
            <v>0</v>
          </cell>
          <cell r="P111">
            <v>0</v>
          </cell>
        </row>
        <row r="112">
          <cell r="G112">
            <v>0</v>
          </cell>
          <cell r="K112">
            <v>0</v>
          </cell>
          <cell r="O112">
            <v>0</v>
          </cell>
          <cell r="P112">
            <v>0</v>
          </cell>
        </row>
        <row r="113">
          <cell r="G113">
            <v>0</v>
          </cell>
          <cell r="K113">
            <v>0</v>
          </cell>
          <cell r="O113">
            <v>0</v>
          </cell>
          <cell r="P113">
            <v>0</v>
          </cell>
        </row>
        <row r="114">
          <cell r="G114">
            <v>0</v>
          </cell>
          <cell r="K114">
            <v>0</v>
          </cell>
          <cell r="O114">
            <v>0</v>
          </cell>
          <cell r="P114">
            <v>0</v>
          </cell>
        </row>
        <row r="115">
          <cell r="G115">
            <v>0</v>
          </cell>
          <cell r="K115">
            <v>0</v>
          </cell>
          <cell r="O115">
            <v>0</v>
          </cell>
          <cell r="P115">
            <v>0</v>
          </cell>
        </row>
        <row r="116">
          <cell r="G116">
            <v>0</v>
          </cell>
          <cell r="K116">
            <v>0</v>
          </cell>
          <cell r="O116">
            <v>0</v>
          </cell>
          <cell r="P116">
            <v>0</v>
          </cell>
        </row>
        <row r="117">
          <cell r="G117">
            <v>0</v>
          </cell>
          <cell r="K117">
            <v>0</v>
          </cell>
          <cell r="O117">
            <v>0</v>
          </cell>
          <cell r="P117">
            <v>0</v>
          </cell>
        </row>
        <row r="118">
          <cell r="G118">
            <v>0</v>
          </cell>
          <cell r="K118">
            <v>0</v>
          </cell>
          <cell r="O118">
            <v>0</v>
          </cell>
          <cell r="P118">
            <v>0</v>
          </cell>
        </row>
        <row r="119">
          <cell r="G119">
            <v>0</v>
          </cell>
          <cell r="K119">
            <v>0</v>
          </cell>
          <cell r="O119">
            <v>0</v>
          </cell>
          <cell r="P119">
            <v>0</v>
          </cell>
        </row>
        <row r="120">
          <cell r="G120">
            <v>0</v>
          </cell>
          <cell r="K120">
            <v>0</v>
          </cell>
          <cell r="O120">
            <v>0</v>
          </cell>
          <cell r="P120">
            <v>0</v>
          </cell>
        </row>
        <row r="121">
          <cell r="G121">
            <v>0</v>
          </cell>
          <cell r="K121">
            <v>0</v>
          </cell>
          <cell r="O121">
            <v>0</v>
          </cell>
          <cell r="P121">
            <v>0</v>
          </cell>
        </row>
        <row r="122">
          <cell r="G122">
            <v>0</v>
          </cell>
          <cell r="K122">
            <v>0</v>
          </cell>
          <cell r="O122">
            <v>0</v>
          </cell>
          <cell r="P122">
            <v>0</v>
          </cell>
        </row>
        <row r="123">
          <cell r="G123">
            <v>0</v>
          </cell>
          <cell r="K123">
            <v>0</v>
          </cell>
          <cell r="O123">
            <v>0</v>
          </cell>
          <cell r="P123">
            <v>0</v>
          </cell>
        </row>
        <row r="124">
          <cell r="G124">
            <v>0</v>
          </cell>
          <cell r="K124">
            <v>0</v>
          </cell>
          <cell r="O124">
            <v>0</v>
          </cell>
          <cell r="P124">
            <v>0</v>
          </cell>
        </row>
        <row r="125">
          <cell r="G125">
            <v>0</v>
          </cell>
          <cell r="K125">
            <v>0</v>
          </cell>
          <cell r="O125">
            <v>0</v>
          </cell>
          <cell r="P125">
            <v>0</v>
          </cell>
        </row>
        <row r="126">
          <cell r="G126">
            <v>0</v>
          </cell>
          <cell r="K126">
            <v>0</v>
          </cell>
          <cell r="O126">
            <v>0</v>
          </cell>
          <cell r="P126">
            <v>0</v>
          </cell>
        </row>
        <row r="127">
          <cell r="G127">
            <v>0</v>
          </cell>
          <cell r="K127">
            <v>0</v>
          </cell>
          <cell r="O127">
            <v>0</v>
          </cell>
          <cell r="P127">
            <v>0</v>
          </cell>
        </row>
        <row r="128">
          <cell r="G128">
            <v>0</v>
          </cell>
          <cell r="K128">
            <v>0</v>
          </cell>
          <cell r="O128">
            <v>0</v>
          </cell>
          <cell r="P128">
            <v>0</v>
          </cell>
        </row>
        <row r="129">
          <cell r="G129">
            <v>0</v>
          </cell>
          <cell r="K129">
            <v>0</v>
          </cell>
          <cell r="O129">
            <v>0</v>
          </cell>
          <cell r="P129">
            <v>0</v>
          </cell>
        </row>
        <row r="130">
          <cell r="G130">
            <v>0</v>
          </cell>
          <cell r="K130">
            <v>0</v>
          </cell>
          <cell r="O130">
            <v>0</v>
          </cell>
          <cell r="P130">
            <v>0</v>
          </cell>
        </row>
        <row r="131">
          <cell r="G131">
            <v>0</v>
          </cell>
          <cell r="K131">
            <v>0</v>
          </cell>
          <cell r="O131">
            <v>0</v>
          </cell>
          <cell r="P131">
            <v>0</v>
          </cell>
        </row>
        <row r="132">
          <cell r="G132">
            <v>0</v>
          </cell>
          <cell r="K132">
            <v>0</v>
          </cell>
          <cell r="O132">
            <v>0</v>
          </cell>
          <cell r="P132">
            <v>0</v>
          </cell>
        </row>
        <row r="133">
          <cell r="G133">
            <v>0</v>
          </cell>
          <cell r="K133">
            <v>0</v>
          </cell>
          <cell r="O133">
            <v>0</v>
          </cell>
          <cell r="P133">
            <v>0</v>
          </cell>
        </row>
        <row r="134">
          <cell r="G134">
            <v>0</v>
          </cell>
          <cell r="K134">
            <v>0</v>
          </cell>
          <cell r="O134">
            <v>0</v>
          </cell>
          <cell r="P134">
            <v>0</v>
          </cell>
        </row>
        <row r="135">
          <cell r="G135">
            <v>0</v>
          </cell>
          <cell r="K135">
            <v>0</v>
          </cell>
          <cell r="O135">
            <v>0</v>
          </cell>
          <cell r="P135">
            <v>0</v>
          </cell>
        </row>
        <row r="136">
          <cell r="G136">
            <v>0</v>
          </cell>
          <cell r="K136">
            <v>0</v>
          </cell>
          <cell r="O136">
            <v>0</v>
          </cell>
          <cell r="P136">
            <v>0</v>
          </cell>
        </row>
        <row r="137">
          <cell r="G137">
            <v>0</v>
          </cell>
          <cell r="K137">
            <v>0</v>
          </cell>
          <cell r="O137">
            <v>0</v>
          </cell>
          <cell r="P137">
            <v>0</v>
          </cell>
        </row>
        <row r="138">
          <cell r="G138">
            <v>0</v>
          </cell>
          <cell r="K138">
            <v>0</v>
          </cell>
          <cell r="O138">
            <v>0</v>
          </cell>
          <cell r="P138">
            <v>0</v>
          </cell>
        </row>
        <row r="139">
          <cell r="G139">
            <v>0</v>
          </cell>
          <cell r="K139">
            <v>0</v>
          </cell>
          <cell r="O139">
            <v>0</v>
          </cell>
          <cell r="P139">
            <v>0</v>
          </cell>
        </row>
        <row r="140">
          <cell r="G140">
            <v>0</v>
          </cell>
          <cell r="K140">
            <v>0</v>
          </cell>
          <cell r="O140">
            <v>0</v>
          </cell>
          <cell r="P140">
            <v>0</v>
          </cell>
        </row>
        <row r="141">
          <cell r="G141">
            <v>0</v>
          </cell>
          <cell r="K141">
            <v>0</v>
          </cell>
          <cell r="O141">
            <v>0</v>
          </cell>
          <cell r="P141">
            <v>0</v>
          </cell>
        </row>
        <row r="142">
          <cell r="G142">
            <v>0</v>
          </cell>
          <cell r="K142">
            <v>0</v>
          </cell>
          <cell r="O142">
            <v>0</v>
          </cell>
          <cell r="P142">
            <v>0</v>
          </cell>
        </row>
        <row r="143">
          <cell r="G143">
            <v>0</v>
          </cell>
          <cell r="K143">
            <v>0</v>
          </cell>
          <cell r="O143">
            <v>0</v>
          </cell>
          <cell r="P143">
            <v>0</v>
          </cell>
        </row>
        <row r="144">
          <cell r="G144">
            <v>0</v>
          </cell>
          <cell r="K144">
            <v>0</v>
          </cell>
          <cell r="O144">
            <v>0</v>
          </cell>
          <cell r="P144">
            <v>0</v>
          </cell>
        </row>
        <row r="145">
          <cell r="G145">
            <v>0</v>
          </cell>
          <cell r="K145">
            <v>0</v>
          </cell>
          <cell r="O145">
            <v>0</v>
          </cell>
          <cell r="P145">
            <v>0</v>
          </cell>
        </row>
        <row r="146">
          <cell r="G146">
            <v>0</v>
          </cell>
          <cell r="K146">
            <v>0</v>
          </cell>
          <cell r="O146">
            <v>0</v>
          </cell>
          <cell r="P146">
            <v>0</v>
          </cell>
        </row>
        <row r="147">
          <cell r="G147">
            <v>0</v>
          </cell>
          <cell r="K147">
            <v>0</v>
          </cell>
          <cell r="O147">
            <v>0</v>
          </cell>
          <cell r="P147">
            <v>0</v>
          </cell>
        </row>
        <row r="148">
          <cell r="G148">
            <v>0</v>
          </cell>
          <cell r="K148">
            <v>0</v>
          </cell>
          <cell r="O148">
            <v>0</v>
          </cell>
          <cell r="P148">
            <v>0</v>
          </cell>
        </row>
        <row r="149">
          <cell r="G149">
            <v>0</v>
          </cell>
          <cell r="K149">
            <v>0</v>
          </cell>
          <cell r="O149">
            <v>0</v>
          </cell>
          <cell r="P149">
            <v>0</v>
          </cell>
        </row>
        <row r="150">
          <cell r="G150">
            <v>0</v>
          </cell>
          <cell r="K150">
            <v>0</v>
          </cell>
          <cell r="O150">
            <v>0</v>
          </cell>
          <cell r="P150">
            <v>0</v>
          </cell>
        </row>
        <row r="151">
          <cell r="G151">
            <v>0</v>
          </cell>
          <cell r="K151">
            <v>0</v>
          </cell>
          <cell r="O151">
            <v>0</v>
          </cell>
          <cell r="P151">
            <v>0</v>
          </cell>
        </row>
        <row r="152">
          <cell r="G152">
            <v>0</v>
          </cell>
          <cell r="K152">
            <v>0</v>
          </cell>
          <cell r="O152">
            <v>0</v>
          </cell>
          <cell r="P152">
            <v>0</v>
          </cell>
        </row>
        <row r="153">
          <cell r="G153">
            <v>0</v>
          </cell>
          <cell r="K153">
            <v>0</v>
          </cell>
          <cell r="O153">
            <v>0</v>
          </cell>
          <cell r="P153">
            <v>0</v>
          </cell>
        </row>
        <row r="154">
          <cell r="G154">
            <v>0</v>
          </cell>
          <cell r="K154">
            <v>0</v>
          </cell>
          <cell r="O154">
            <v>0</v>
          </cell>
          <cell r="P154">
            <v>0</v>
          </cell>
        </row>
        <row r="155">
          <cell r="G155">
            <v>0</v>
          </cell>
          <cell r="K155">
            <v>0</v>
          </cell>
          <cell r="O155">
            <v>0</v>
          </cell>
          <cell r="P155">
            <v>0</v>
          </cell>
        </row>
        <row r="156">
          <cell r="G156">
            <v>0</v>
          </cell>
          <cell r="K156">
            <v>0</v>
          </cell>
          <cell r="O156">
            <v>0</v>
          </cell>
          <cell r="P156">
            <v>0</v>
          </cell>
        </row>
        <row r="157">
          <cell r="G157">
            <v>0</v>
          </cell>
          <cell r="K157">
            <v>0</v>
          </cell>
          <cell r="O157">
            <v>0</v>
          </cell>
          <cell r="P157">
            <v>0</v>
          </cell>
        </row>
        <row r="158">
          <cell r="G158">
            <v>0</v>
          </cell>
          <cell r="K158">
            <v>0</v>
          </cell>
          <cell r="O158">
            <v>0</v>
          </cell>
          <cell r="P158">
            <v>0</v>
          </cell>
        </row>
        <row r="159">
          <cell r="G159">
            <v>0</v>
          </cell>
          <cell r="K159">
            <v>0</v>
          </cell>
          <cell r="O159">
            <v>0</v>
          </cell>
          <cell r="P159">
            <v>0</v>
          </cell>
        </row>
        <row r="160">
          <cell r="G160">
            <v>0</v>
          </cell>
          <cell r="K160">
            <v>0</v>
          </cell>
          <cell r="O160">
            <v>0</v>
          </cell>
          <cell r="P160">
            <v>0</v>
          </cell>
        </row>
        <row r="161">
          <cell r="G161">
            <v>0</v>
          </cell>
          <cell r="K161">
            <v>0</v>
          </cell>
          <cell r="O161">
            <v>0</v>
          </cell>
          <cell r="P161">
            <v>0</v>
          </cell>
        </row>
        <row r="162">
          <cell r="G162">
            <v>0</v>
          </cell>
          <cell r="K162">
            <v>0</v>
          </cell>
          <cell r="O162">
            <v>0</v>
          </cell>
          <cell r="P162">
            <v>0</v>
          </cell>
        </row>
        <row r="163">
          <cell r="G163">
            <v>0</v>
          </cell>
          <cell r="K163">
            <v>0</v>
          </cell>
          <cell r="O163">
            <v>0</v>
          </cell>
          <cell r="P163">
            <v>0</v>
          </cell>
        </row>
        <row r="164">
          <cell r="G164">
            <v>0</v>
          </cell>
          <cell r="K164">
            <v>0</v>
          </cell>
          <cell r="O164">
            <v>0</v>
          </cell>
          <cell r="P164">
            <v>0</v>
          </cell>
        </row>
        <row r="165">
          <cell r="G165">
            <v>0</v>
          </cell>
          <cell r="K165">
            <v>0</v>
          </cell>
          <cell r="O165">
            <v>0</v>
          </cell>
          <cell r="P165">
            <v>0</v>
          </cell>
        </row>
        <row r="166">
          <cell r="G166">
            <v>0</v>
          </cell>
          <cell r="K166">
            <v>0</v>
          </cell>
          <cell r="O166">
            <v>0</v>
          </cell>
          <cell r="P166">
            <v>0</v>
          </cell>
        </row>
        <row r="167">
          <cell r="G167">
            <v>0</v>
          </cell>
          <cell r="K167">
            <v>0</v>
          </cell>
          <cell r="O167">
            <v>0</v>
          </cell>
          <cell r="P167">
            <v>0</v>
          </cell>
        </row>
        <row r="168">
          <cell r="G168">
            <v>0</v>
          </cell>
          <cell r="K168">
            <v>0</v>
          </cell>
          <cell r="O168">
            <v>0</v>
          </cell>
          <cell r="P168">
            <v>0</v>
          </cell>
        </row>
        <row r="169">
          <cell r="G169">
            <v>0</v>
          </cell>
          <cell r="K169">
            <v>0</v>
          </cell>
          <cell r="O169">
            <v>0</v>
          </cell>
          <cell r="P169">
            <v>0</v>
          </cell>
        </row>
        <row r="170">
          <cell r="G170">
            <v>0</v>
          </cell>
          <cell r="K170">
            <v>0</v>
          </cell>
          <cell r="O170">
            <v>0</v>
          </cell>
          <cell r="P170">
            <v>0</v>
          </cell>
        </row>
        <row r="171">
          <cell r="G171">
            <v>0</v>
          </cell>
          <cell r="K171">
            <v>0</v>
          </cell>
          <cell r="O171">
            <v>0</v>
          </cell>
          <cell r="P171">
            <v>0</v>
          </cell>
        </row>
        <row r="172">
          <cell r="G172">
            <v>0</v>
          </cell>
          <cell r="K172">
            <v>0</v>
          </cell>
          <cell r="O172">
            <v>0</v>
          </cell>
          <cell r="P172">
            <v>0</v>
          </cell>
        </row>
        <row r="173">
          <cell r="G173">
            <v>0</v>
          </cell>
          <cell r="K173">
            <v>0</v>
          </cell>
          <cell r="O173">
            <v>0</v>
          </cell>
          <cell r="P173">
            <v>0</v>
          </cell>
        </row>
        <row r="174">
          <cell r="G174">
            <v>0</v>
          </cell>
          <cell r="K174">
            <v>0</v>
          </cell>
          <cell r="O174">
            <v>0</v>
          </cell>
          <cell r="P174">
            <v>0</v>
          </cell>
        </row>
        <row r="175">
          <cell r="G175">
            <v>0</v>
          </cell>
          <cell r="K175">
            <v>0</v>
          </cell>
          <cell r="O175">
            <v>0</v>
          </cell>
          <cell r="P175">
            <v>0</v>
          </cell>
        </row>
        <row r="176">
          <cell r="G176">
            <v>0</v>
          </cell>
          <cell r="K176">
            <v>0</v>
          </cell>
          <cell r="O176">
            <v>0</v>
          </cell>
          <cell r="P176">
            <v>0</v>
          </cell>
        </row>
        <row r="177">
          <cell r="G177">
            <v>0</v>
          </cell>
          <cell r="K177">
            <v>0</v>
          </cell>
          <cell r="O177">
            <v>0</v>
          </cell>
          <cell r="P177">
            <v>0</v>
          </cell>
        </row>
        <row r="178">
          <cell r="G178">
            <v>0</v>
          </cell>
          <cell r="K178">
            <v>0</v>
          </cell>
          <cell r="O178">
            <v>0</v>
          </cell>
          <cell r="P178">
            <v>0</v>
          </cell>
        </row>
        <row r="179">
          <cell r="G179">
            <v>0</v>
          </cell>
          <cell r="K179">
            <v>0</v>
          </cell>
          <cell r="O179">
            <v>0</v>
          </cell>
          <cell r="P179">
            <v>0</v>
          </cell>
        </row>
        <row r="180">
          <cell r="G180">
            <v>0</v>
          </cell>
          <cell r="K180">
            <v>0</v>
          </cell>
          <cell r="O180">
            <v>0</v>
          </cell>
          <cell r="P180">
            <v>0</v>
          </cell>
        </row>
        <row r="181">
          <cell r="G181">
            <v>0</v>
          </cell>
          <cell r="K181">
            <v>0</v>
          </cell>
          <cell r="O181">
            <v>0</v>
          </cell>
          <cell r="P181">
            <v>0</v>
          </cell>
        </row>
        <row r="182">
          <cell r="G182">
            <v>0</v>
          </cell>
          <cell r="K182">
            <v>0</v>
          </cell>
          <cell r="O182">
            <v>0</v>
          </cell>
          <cell r="P182">
            <v>0</v>
          </cell>
        </row>
        <row r="183">
          <cell r="G183">
            <v>0</v>
          </cell>
          <cell r="K183">
            <v>0</v>
          </cell>
          <cell r="O183">
            <v>0</v>
          </cell>
          <cell r="P183">
            <v>0</v>
          </cell>
        </row>
        <row r="184">
          <cell r="G184">
            <v>0</v>
          </cell>
          <cell r="K184">
            <v>0</v>
          </cell>
          <cell r="O184">
            <v>0</v>
          </cell>
          <cell r="P184">
            <v>0</v>
          </cell>
        </row>
        <row r="185">
          <cell r="G185">
            <v>0</v>
          </cell>
          <cell r="K185">
            <v>0</v>
          </cell>
          <cell r="O185">
            <v>0</v>
          </cell>
          <cell r="P185">
            <v>0</v>
          </cell>
        </row>
        <row r="186">
          <cell r="G186">
            <v>0</v>
          </cell>
          <cell r="K186">
            <v>0</v>
          </cell>
          <cell r="O186">
            <v>0</v>
          </cell>
          <cell r="P186">
            <v>0</v>
          </cell>
        </row>
        <row r="187">
          <cell r="G187">
            <v>0</v>
          </cell>
          <cell r="K187">
            <v>0</v>
          </cell>
          <cell r="O187">
            <v>0</v>
          </cell>
          <cell r="P187">
            <v>0</v>
          </cell>
        </row>
        <row r="188">
          <cell r="G188">
            <v>0</v>
          </cell>
          <cell r="K188">
            <v>0</v>
          </cell>
          <cell r="O188">
            <v>0</v>
          </cell>
          <cell r="P188">
            <v>0</v>
          </cell>
        </row>
        <row r="189">
          <cell r="G189">
            <v>0</v>
          </cell>
          <cell r="K189">
            <v>0</v>
          </cell>
          <cell r="O189">
            <v>0</v>
          </cell>
          <cell r="P189">
            <v>0</v>
          </cell>
        </row>
        <row r="190">
          <cell r="G190">
            <v>0</v>
          </cell>
          <cell r="K190">
            <v>0</v>
          </cell>
          <cell r="O190">
            <v>0</v>
          </cell>
          <cell r="P190">
            <v>0</v>
          </cell>
        </row>
        <row r="191">
          <cell r="G191">
            <v>0</v>
          </cell>
          <cell r="K191">
            <v>0</v>
          </cell>
          <cell r="O191">
            <v>0</v>
          </cell>
          <cell r="P191">
            <v>0</v>
          </cell>
        </row>
        <row r="192">
          <cell r="G192">
            <v>0</v>
          </cell>
          <cell r="K192">
            <v>0</v>
          </cell>
          <cell r="O192">
            <v>0</v>
          </cell>
          <cell r="P192">
            <v>0</v>
          </cell>
        </row>
        <row r="193">
          <cell r="G193">
            <v>0</v>
          </cell>
          <cell r="K193">
            <v>0</v>
          </cell>
          <cell r="O193">
            <v>0</v>
          </cell>
          <cell r="P193">
            <v>0</v>
          </cell>
        </row>
        <row r="194">
          <cell r="G194">
            <v>0</v>
          </cell>
          <cell r="K194">
            <v>0</v>
          </cell>
          <cell r="O194">
            <v>0</v>
          </cell>
          <cell r="P194">
            <v>0</v>
          </cell>
        </row>
        <row r="195">
          <cell r="G195">
            <v>0</v>
          </cell>
          <cell r="K195">
            <v>0</v>
          </cell>
          <cell r="O195">
            <v>0</v>
          </cell>
          <cell r="P195">
            <v>0</v>
          </cell>
        </row>
        <row r="196">
          <cell r="G196">
            <v>0</v>
          </cell>
          <cell r="K196">
            <v>0</v>
          </cell>
          <cell r="O196">
            <v>0</v>
          </cell>
          <cell r="P196">
            <v>0</v>
          </cell>
        </row>
        <row r="197">
          <cell r="G197">
            <v>0</v>
          </cell>
          <cell r="K197">
            <v>0</v>
          </cell>
          <cell r="O197">
            <v>0</v>
          </cell>
          <cell r="P197">
            <v>0</v>
          </cell>
        </row>
        <row r="198">
          <cell r="G198">
            <v>0</v>
          </cell>
          <cell r="K198">
            <v>0</v>
          </cell>
          <cell r="O198">
            <v>0</v>
          </cell>
          <cell r="P198">
            <v>0</v>
          </cell>
        </row>
        <row r="199">
          <cell r="G199">
            <v>0</v>
          </cell>
          <cell r="K199">
            <v>0</v>
          </cell>
          <cell r="O199">
            <v>0</v>
          </cell>
          <cell r="P199">
            <v>0</v>
          </cell>
        </row>
        <row r="200">
          <cell r="G200">
            <v>0</v>
          </cell>
          <cell r="K200">
            <v>0</v>
          </cell>
          <cell r="O200">
            <v>0</v>
          </cell>
          <cell r="P200">
            <v>0</v>
          </cell>
        </row>
        <row r="201">
          <cell r="G201">
            <v>0</v>
          </cell>
          <cell r="K201">
            <v>0</v>
          </cell>
          <cell r="O201">
            <v>0</v>
          </cell>
          <cell r="P201">
            <v>0</v>
          </cell>
        </row>
        <row r="202">
          <cell r="G202">
            <v>0</v>
          </cell>
          <cell r="K202">
            <v>0</v>
          </cell>
          <cell r="O202">
            <v>0</v>
          </cell>
          <cell r="P202">
            <v>0</v>
          </cell>
        </row>
        <row r="203">
          <cell r="G203">
            <v>0</v>
          </cell>
          <cell r="K203">
            <v>0</v>
          </cell>
          <cell r="O203">
            <v>0</v>
          </cell>
          <cell r="P203">
            <v>0</v>
          </cell>
        </row>
        <row r="204">
          <cell r="G204">
            <v>0</v>
          </cell>
          <cell r="K204">
            <v>0</v>
          </cell>
          <cell r="O204">
            <v>0</v>
          </cell>
          <cell r="P204">
            <v>0</v>
          </cell>
        </row>
        <row r="205">
          <cell r="G205">
            <v>0</v>
          </cell>
          <cell r="K205">
            <v>0</v>
          </cell>
          <cell r="O205">
            <v>0</v>
          </cell>
          <cell r="P205">
            <v>0</v>
          </cell>
        </row>
        <row r="206">
          <cell r="G206">
            <v>0</v>
          </cell>
          <cell r="K206">
            <v>0</v>
          </cell>
          <cell r="O206">
            <v>0</v>
          </cell>
          <cell r="P206">
            <v>0</v>
          </cell>
        </row>
        <row r="207">
          <cell r="G207">
            <v>0</v>
          </cell>
          <cell r="K207">
            <v>0</v>
          </cell>
          <cell r="O207">
            <v>0</v>
          </cell>
          <cell r="P207">
            <v>0</v>
          </cell>
        </row>
        <row r="208">
          <cell r="G208">
            <v>0</v>
          </cell>
          <cell r="K208">
            <v>0</v>
          </cell>
          <cell r="O208">
            <v>0</v>
          </cell>
          <cell r="P208">
            <v>0</v>
          </cell>
        </row>
        <row r="209">
          <cell r="G209">
            <v>0</v>
          </cell>
          <cell r="K209">
            <v>0</v>
          </cell>
          <cell r="O209">
            <v>0</v>
          </cell>
          <cell r="P209">
            <v>0</v>
          </cell>
        </row>
        <row r="210">
          <cell r="G210">
            <v>0</v>
          </cell>
          <cell r="K210">
            <v>0</v>
          </cell>
          <cell r="O210">
            <v>0</v>
          </cell>
          <cell r="P210">
            <v>0</v>
          </cell>
        </row>
        <row r="211">
          <cell r="G211">
            <v>0</v>
          </cell>
          <cell r="K211">
            <v>0</v>
          </cell>
          <cell r="O211">
            <v>0</v>
          </cell>
          <cell r="P211">
            <v>0</v>
          </cell>
        </row>
        <row r="212">
          <cell r="G212">
            <v>0</v>
          </cell>
          <cell r="K212">
            <v>0</v>
          </cell>
          <cell r="O212">
            <v>0</v>
          </cell>
          <cell r="P212">
            <v>0</v>
          </cell>
        </row>
        <row r="213">
          <cell r="G213">
            <v>0</v>
          </cell>
          <cell r="K213">
            <v>0</v>
          </cell>
          <cell r="O213">
            <v>0</v>
          </cell>
          <cell r="P213">
            <v>0</v>
          </cell>
        </row>
        <row r="214">
          <cell r="G214">
            <v>0</v>
          </cell>
          <cell r="K214">
            <v>0</v>
          </cell>
          <cell r="O214">
            <v>0</v>
          </cell>
          <cell r="P214">
            <v>0</v>
          </cell>
        </row>
        <row r="215">
          <cell r="G215">
            <v>0</v>
          </cell>
          <cell r="K215">
            <v>0</v>
          </cell>
          <cell r="O215">
            <v>0</v>
          </cell>
          <cell r="P215">
            <v>0</v>
          </cell>
        </row>
        <row r="216">
          <cell r="G216">
            <v>0</v>
          </cell>
          <cell r="K216">
            <v>0</v>
          </cell>
          <cell r="O216">
            <v>0</v>
          </cell>
          <cell r="P216">
            <v>0</v>
          </cell>
        </row>
        <row r="217">
          <cell r="G217">
            <v>0</v>
          </cell>
          <cell r="K217">
            <v>0</v>
          </cell>
          <cell r="O217">
            <v>0</v>
          </cell>
          <cell r="P217">
            <v>0</v>
          </cell>
        </row>
        <row r="218">
          <cell r="G218">
            <v>0</v>
          </cell>
          <cell r="K218">
            <v>0</v>
          </cell>
          <cell r="O218">
            <v>0</v>
          </cell>
          <cell r="P218">
            <v>0</v>
          </cell>
        </row>
        <row r="219">
          <cell r="G219">
            <v>0</v>
          </cell>
          <cell r="K219">
            <v>0</v>
          </cell>
          <cell r="O219">
            <v>0</v>
          </cell>
          <cell r="P219">
            <v>0</v>
          </cell>
        </row>
        <row r="220">
          <cell r="G220">
            <v>0</v>
          </cell>
          <cell r="K220">
            <v>0</v>
          </cell>
          <cell r="O220">
            <v>0</v>
          </cell>
          <cell r="P220">
            <v>0</v>
          </cell>
        </row>
        <row r="221">
          <cell r="G221">
            <v>0</v>
          </cell>
          <cell r="K221">
            <v>0</v>
          </cell>
          <cell r="O221">
            <v>0</v>
          </cell>
          <cell r="P221">
            <v>0</v>
          </cell>
        </row>
        <row r="222">
          <cell r="G222">
            <v>0</v>
          </cell>
          <cell r="K222">
            <v>0</v>
          </cell>
          <cell r="O222">
            <v>0</v>
          </cell>
          <cell r="P222">
            <v>0</v>
          </cell>
        </row>
        <row r="223">
          <cell r="G223">
            <v>0</v>
          </cell>
          <cell r="K223">
            <v>0</v>
          </cell>
          <cell r="O223">
            <v>0</v>
          </cell>
          <cell r="P223">
            <v>0</v>
          </cell>
        </row>
        <row r="224">
          <cell r="G224">
            <v>0</v>
          </cell>
          <cell r="K224">
            <v>0</v>
          </cell>
          <cell r="O224">
            <v>0</v>
          </cell>
          <cell r="P224">
            <v>0</v>
          </cell>
        </row>
        <row r="225">
          <cell r="G225">
            <v>0</v>
          </cell>
          <cell r="K225">
            <v>0</v>
          </cell>
          <cell r="O225">
            <v>0</v>
          </cell>
          <cell r="P225">
            <v>0</v>
          </cell>
        </row>
        <row r="226">
          <cell r="G226">
            <v>0</v>
          </cell>
          <cell r="K226">
            <v>0</v>
          </cell>
          <cell r="O226">
            <v>0</v>
          </cell>
          <cell r="P226">
            <v>0</v>
          </cell>
        </row>
        <row r="227">
          <cell r="G227">
            <v>0</v>
          </cell>
          <cell r="K227">
            <v>0</v>
          </cell>
          <cell r="O227">
            <v>0</v>
          </cell>
          <cell r="P227">
            <v>0</v>
          </cell>
        </row>
        <row r="228">
          <cell r="G228">
            <v>0</v>
          </cell>
          <cell r="K228">
            <v>0</v>
          </cell>
          <cell r="O228">
            <v>0</v>
          </cell>
          <cell r="P228">
            <v>0</v>
          </cell>
        </row>
        <row r="229">
          <cell r="G229">
            <v>0</v>
          </cell>
          <cell r="K229">
            <v>0</v>
          </cell>
          <cell r="O229">
            <v>0</v>
          </cell>
          <cell r="P229">
            <v>0</v>
          </cell>
        </row>
        <row r="230">
          <cell r="G230">
            <v>0</v>
          </cell>
          <cell r="K230">
            <v>0</v>
          </cell>
          <cell r="O230">
            <v>0</v>
          </cell>
          <cell r="P230">
            <v>0</v>
          </cell>
        </row>
        <row r="231">
          <cell r="G231">
            <v>0</v>
          </cell>
          <cell r="K231">
            <v>0</v>
          </cell>
          <cell r="O231">
            <v>0</v>
          </cell>
          <cell r="P231">
            <v>0</v>
          </cell>
        </row>
        <row r="232">
          <cell r="G232">
            <v>0</v>
          </cell>
          <cell r="K232">
            <v>0</v>
          </cell>
          <cell r="O232">
            <v>0</v>
          </cell>
          <cell r="P232">
            <v>0</v>
          </cell>
        </row>
        <row r="233">
          <cell r="G233">
            <v>0</v>
          </cell>
          <cell r="K233">
            <v>0</v>
          </cell>
          <cell r="O233">
            <v>0</v>
          </cell>
          <cell r="P233">
            <v>0</v>
          </cell>
        </row>
        <row r="234">
          <cell r="G234">
            <v>0</v>
          </cell>
          <cell r="K234">
            <v>0</v>
          </cell>
          <cell r="O234">
            <v>0</v>
          </cell>
          <cell r="P234">
            <v>0</v>
          </cell>
        </row>
        <row r="235">
          <cell r="G235">
            <v>0</v>
          </cell>
          <cell r="K235">
            <v>0</v>
          </cell>
          <cell r="O235">
            <v>0</v>
          </cell>
          <cell r="P235">
            <v>0</v>
          </cell>
        </row>
        <row r="236">
          <cell r="G236">
            <v>0</v>
          </cell>
          <cell r="K236">
            <v>0</v>
          </cell>
          <cell r="O236">
            <v>0</v>
          </cell>
          <cell r="P236">
            <v>0</v>
          </cell>
        </row>
        <row r="237">
          <cell r="G237">
            <v>0</v>
          </cell>
          <cell r="K237">
            <v>0</v>
          </cell>
          <cell r="O237">
            <v>0</v>
          </cell>
          <cell r="P237">
            <v>0</v>
          </cell>
        </row>
        <row r="238">
          <cell r="G238">
            <v>0</v>
          </cell>
          <cell r="K238">
            <v>0</v>
          </cell>
          <cell r="O238">
            <v>0</v>
          </cell>
          <cell r="P238">
            <v>0</v>
          </cell>
        </row>
        <row r="239">
          <cell r="G239">
            <v>0</v>
          </cell>
          <cell r="K239">
            <v>0</v>
          </cell>
          <cell r="O239">
            <v>0</v>
          </cell>
          <cell r="P239">
            <v>0</v>
          </cell>
        </row>
        <row r="240">
          <cell r="G240">
            <v>0</v>
          </cell>
          <cell r="K240">
            <v>0</v>
          </cell>
          <cell r="O240">
            <v>0</v>
          </cell>
          <cell r="P240">
            <v>0</v>
          </cell>
        </row>
        <row r="241">
          <cell r="G241">
            <v>0</v>
          </cell>
          <cell r="K241">
            <v>0</v>
          </cell>
          <cell r="O241">
            <v>0</v>
          </cell>
          <cell r="P241">
            <v>0</v>
          </cell>
        </row>
        <row r="242">
          <cell r="G242">
            <v>0</v>
          </cell>
          <cell r="K242">
            <v>0</v>
          </cell>
          <cell r="O242">
            <v>0</v>
          </cell>
          <cell r="P242">
            <v>0</v>
          </cell>
        </row>
        <row r="243">
          <cell r="G243">
            <v>0</v>
          </cell>
          <cell r="K243">
            <v>0</v>
          </cell>
          <cell r="O243">
            <v>0</v>
          </cell>
          <cell r="P243">
            <v>0</v>
          </cell>
        </row>
        <row r="244">
          <cell r="G244">
            <v>0</v>
          </cell>
          <cell r="K244">
            <v>0</v>
          </cell>
          <cell r="O244">
            <v>0</v>
          </cell>
          <cell r="P244">
            <v>0</v>
          </cell>
        </row>
        <row r="245">
          <cell r="G245">
            <v>0</v>
          </cell>
          <cell r="K245">
            <v>0</v>
          </cell>
          <cell r="O245">
            <v>0</v>
          </cell>
          <cell r="P245">
            <v>0</v>
          </cell>
        </row>
        <row r="246">
          <cell r="G246">
            <v>0</v>
          </cell>
          <cell r="K246">
            <v>0</v>
          </cell>
          <cell r="O246">
            <v>0</v>
          </cell>
          <cell r="P246">
            <v>0</v>
          </cell>
        </row>
        <row r="247">
          <cell r="G247">
            <v>0</v>
          </cell>
          <cell r="K247">
            <v>0</v>
          </cell>
          <cell r="O247">
            <v>0</v>
          </cell>
          <cell r="P247">
            <v>0</v>
          </cell>
        </row>
        <row r="248">
          <cell r="G248">
            <v>0</v>
          </cell>
          <cell r="K248">
            <v>0</v>
          </cell>
          <cell r="O248">
            <v>0</v>
          </cell>
          <cell r="P248">
            <v>0</v>
          </cell>
        </row>
        <row r="249">
          <cell r="G249">
            <v>0</v>
          </cell>
          <cell r="K249">
            <v>0</v>
          </cell>
          <cell r="O249">
            <v>0</v>
          </cell>
          <cell r="P249">
            <v>0</v>
          </cell>
        </row>
        <row r="250">
          <cell r="G250">
            <v>0</v>
          </cell>
          <cell r="K250">
            <v>0</v>
          </cell>
          <cell r="O250">
            <v>0</v>
          </cell>
          <cell r="P250">
            <v>0</v>
          </cell>
        </row>
        <row r="251">
          <cell r="G251">
            <v>0</v>
          </cell>
          <cell r="K251">
            <v>0</v>
          </cell>
          <cell r="O251">
            <v>0</v>
          </cell>
          <cell r="P251">
            <v>0</v>
          </cell>
        </row>
        <row r="252">
          <cell r="G252">
            <v>0</v>
          </cell>
          <cell r="K252">
            <v>0</v>
          </cell>
          <cell r="O252">
            <v>0</v>
          </cell>
          <cell r="P252">
            <v>0</v>
          </cell>
        </row>
        <row r="253">
          <cell r="G253">
            <v>0</v>
          </cell>
          <cell r="K253">
            <v>0</v>
          </cell>
          <cell r="O253">
            <v>0</v>
          </cell>
          <cell r="P253">
            <v>0</v>
          </cell>
        </row>
        <row r="254">
          <cell r="G254">
            <v>0</v>
          </cell>
          <cell r="K254">
            <v>0</v>
          </cell>
          <cell r="O254">
            <v>0</v>
          </cell>
          <cell r="P254">
            <v>0</v>
          </cell>
        </row>
        <row r="255">
          <cell r="G255">
            <v>0</v>
          </cell>
          <cell r="K255">
            <v>0</v>
          </cell>
          <cell r="O255">
            <v>0</v>
          </cell>
          <cell r="P255">
            <v>0</v>
          </cell>
        </row>
        <row r="256">
          <cell r="G256">
            <v>0</v>
          </cell>
          <cell r="K256">
            <v>0</v>
          </cell>
          <cell r="O256">
            <v>0</v>
          </cell>
          <cell r="P256">
            <v>0</v>
          </cell>
        </row>
        <row r="257">
          <cell r="G257">
            <v>0</v>
          </cell>
          <cell r="K257">
            <v>0</v>
          </cell>
          <cell r="O257">
            <v>0</v>
          </cell>
          <cell r="P257">
            <v>0</v>
          </cell>
        </row>
        <row r="258">
          <cell r="G258">
            <v>0</v>
          </cell>
          <cell r="K258">
            <v>0</v>
          </cell>
          <cell r="O258">
            <v>0</v>
          </cell>
          <cell r="P258">
            <v>0</v>
          </cell>
        </row>
        <row r="259">
          <cell r="G259">
            <v>0</v>
          </cell>
          <cell r="K259">
            <v>0</v>
          </cell>
          <cell r="O259">
            <v>0</v>
          </cell>
          <cell r="P259">
            <v>0</v>
          </cell>
        </row>
        <row r="260">
          <cell r="G260">
            <v>0</v>
          </cell>
          <cell r="K260">
            <v>0</v>
          </cell>
          <cell r="O260">
            <v>0</v>
          </cell>
          <cell r="P260">
            <v>0</v>
          </cell>
        </row>
        <row r="261">
          <cell r="G261">
            <v>0</v>
          </cell>
          <cell r="K261">
            <v>0</v>
          </cell>
          <cell r="O261">
            <v>0</v>
          </cell>
          <cell r="P261">
            <v>0</v>
          </cell>
        </row>
        <row r="262">
          <cell r="G262">
            <v>0</v>
          </cell>
          <cell r="K262">
            <v>0</v>
          </cell>
          <cell r="O262">
            <v>0</v>
          </cell>
          <cell r="P262">
            <v>0</v>
          </cell>
        </row>
        <row r="263">
          <cell r="G263">
            <v>0</v>
          </cell>
          <cell r="K263">
            <v>0</v>
          </cell>
          <cell r="O263">
            <v>0</v>
          </cell>
          <cell r="P263">
            <v>0</v>
          </cell>
        </row>
        <row r="264">
          <cell r="G264">
            <v>0</v>
          </cell>
          <cell r="K264">
            <v>0</v>
          </cell>
          <cell r="O264">
            <v>0</v>
          </cell>
          <cell r="P264">
            <v>0</v>
          </cell>
        </row>
        <row r="265">
          <cell r="G265">
            <v>0</v>
          </cell>
          <cell r="K265">
            <v>0</v>
          </cell>
          <cell r="O265">
            <v>0</v>
          </cell>
          <cell r="P265">
            <v>0</v>
          </cell>
        </row>
        <row r="266">
          <cell r="G266">
            <v>0</v>
          </cell>
          <cell r="K266">
            <v>0</v>
          </cell>
          <cell r="O266">
            <v>0</v>
          </cell>
          <cell r="P266">
            <v>0</v>
          </cell>
        </row>
        <row r="267">
          <cell r="G267">
            <v>0</v>
          </cell>
          <cell r="K267">
            <v>0</v>
          </cell>
          <cell r="O267">
            <v>0</v>
          </cell>
          <cell r="P267">
            <v>0</v>
          </cell>
        </row>
        <row r="268">
          <cell r="G268">
            <v>0</v>
          </cell>
          <cell r="K268">
            <v>0</v>
          </cell>
          <cell r="O268">
            <v>0</v>
          </cell>
          <cell r="P268">
            <v>0</v>
          </cell>
        </row>
        <row r="269">
          <cell r="G269">
            <v>0</v>
          </cell>
          <cell r="K269">
            <v>0</v>
          </cell>
          <cell r="O269">
            <v>0</v>
          </cell>
          <cell r="P269">
            <v>0</v>
          </cell>
        </row>
        <row r="270">
          <cell r="G270">
            <v>0</v>
          </cell>
          <cell r="K270">
            <v>0</v>
          </cell>
          <cell r="O270">
            <v>0</v>
          </cell>
          <cell r="P270">
            <v>0</v>
          </cell>
        </row>
        <row r="271">
          <cell r="G271">
            <v>0</v>
          </cell>
          <cell r="K271">
            <v>0</v>
          </cell>
          <cell r="O271">
            <v>0</v>
          </cell>
          <cell r="P271">
            <v>0</v>
          </cell>
        </row>
        <row r="272">
          <cell r="G272">
            <v>0</v>
          </cell>
          <cell r="K272">
            <v>0</v>
          </cell>
          <cell r="O272">
            <v>0</v>
          </cell>
          <cell r="P272">
            <v>0</v>
          </cell>
        </row>
        <row r="273">
          <cell r="G273">
            <v>0</v>
          </cell>
          <cell r="K273">
            <v>0</v>
          </cell>
          <cell r="O273">
            <v>0</v>
          </cell>
          <cell r="P273">
            <v>0</v>
          </cell>
        </row>
        <row r="274">
          <cell r="G274">
            <v>0</v>
          </cell>
          <cell r="K274">
            <v>0</v>
          </cell>
          <cell r="O274">
            <v>0</v>
          </cell>
          <cell r="P274">
            <v>0</v>
          </cell>
        </row>
        <row r="275">
          <cell r="G275">
            <v>0</v>
          </cell>
          <cell r="K275">
            <v>0</v>
          </cell>
          <cell r="O275">
            <v>0</v>
          </cell>
          <cell r="P275">
            <v>0</v>
          </cell>
        </row>
        <row r="276">
          <cell r="G276">
            <v>0</v>
          </cell>
          <cell r="K276">
            <v>0</v>
          </cell>
          <cell r="O276">
            <v>0</v>
          </cell>
          <cell r="P276">
            <v>0</v>
          </cell>
        </row>
        <row r="277">
          <cell r="G277">
            <v>0</v>
          </cell>
          <cell r="K277">
            <v>0</v>
          </cell>
          <cell r="O277">
            <v>0</v>
          </cell>
          <cell r="P277">
            <v>0</v>
          </cell>
        </row>
        <row r="278">
          <cell r="G278">
            <v>0</v>
          </cell>
          <cell r="K278">
            <v>0</v>
          </cell>
          <cell r="O278">
            <v>0</v>
          </cell>
          <cell r="P278">
            <v>0</v>
          </cell>
        </row>
        <row r="279">
          <cell r="G279">
            <v>0</v>
          </cell>
          <cell r="K279">
            <v>0</v>
          </cell>
          <cell r="O279">
            <v>0</v>
          </cell>
          <cell r="P279">
            <v>0</v>
          </cell>
        </row>
        <row r="280">
          <cell r="G280">
            <v>0</v>
          </cell>
          <cell r="K280">
            <v>0</v>
          </cell>
          <cell r="O280">
            <v>0</v>
          </cell>
          <cell r="P280">
            <v>0</v>
          </cell>
        </row>
        <row r="281">
          <cell r="G281">
            <v>0</v>
          </cell>
          <cell r="K281">
            <v>0</v>
          </cell>
          <cell r="O281">
            <v>0</v>
          </cell>
          <cell r="P281">
            <v>0</v>
          </cell>
        </row>
        <row r="282">
          <cell r="G282">
            <v>0</v>
          </cell>
          <cell r="K282">
            <v>0</v>
          </cell>
          <cell r="O282">
            <v>0</v>
          </cell>
          <cell r="P282">
            <v>0</v>
          </cell>
        </row>
        <row r="283">
          <cell r="G283">
            <v>0</v>
          </cell>
          <cell r="K283">
            <v>0</v>
          </cell>
          <cell r="O283">
            <v>0</v>
          </cell>
          <cell r="P283">
            <v>0</v>
          </cell>
        </row>
        <row r="284">
          <cell r="G284">
            <v>0</v>
          </cell>
          <cell r="K284">
            <v>0</v>
          </cell>
          <cell r="O284">
            <v>0</v>
          </cell>
          <cell r="P284">
            <v>0</v>
          </cell>
        </row>
        <row r="285">
          <cell r="G285">
            <v>0</v>
          </cell>
          <cell r="K285">
            <v>0</v>
          </cell>
          <cell r="O285">
            <v>0</v>
          </cell>
          <cell r="P285">
            <v>0</v>
          </cell>
        </row>
        <row r="286">
          <cell r="G286">
            <v>0</v>
          </cell>
          <cell r="K286">
            <v>0</v>
          </cell>
          <cell r="O286">
            <v>0</v>
          </cell>
          <cell r="P286">
            <v>0</v>
          </cell>
        </row>
        <row r="287">
          <cell r="G287">
            <v>0</v>
          </cell>
          <cell r="K287">
            <v>0</v>
          </cell>
          <cell r="O287">
            <v>0</v>
          </cell>
          <cell r="P287">
            <v>0</v>
          </cell>
        </row>
        <row r="288">
          <cell r="G288">
            <v>0</v>
          </cell>
          <cell r="K288">
            <v>0</v>
          </cell>
          <cell r="O288">
            <v>0</v>
          </cell>
          <cell r="P288">
            <v>0</v>
          </cell>
        </row>
        <row r="289">
          <cell r="G289">
            <v>0</v>
          </cell>
          <cell r="K289">
            <v>0</v>
          </cell>
          <cell r="O289">
            <v>0</v>
          </cell>
          <cell r="P289">
            <v>0</v>
          </cell>
        </row>
        <row r="290">
          <cell r="G290">
            <v>0</v>
          </cell>
          <cell r="K290">
            <v>0</v>
          </cell>
          <cell r="O290">
            <v>0</v>
          </cell>
          <cell r="P290">
            <v>0</v>
          </cell>
        </row>
        <row r="291">
          <cell r="G291">
            <v>0</v>
          </cell>
          <cell r="K291">
            <v>0</v>
          </cell>
          <cell r="O291">
            <v>0</v>
          </cell>
          <cell r="P291">
            <v>0</v>
          </cell>
        </row>
        <row r="292">
          <cell r="G292">
            <v>0</v>
          </cell>
          <cell r="K292">
            <v>0</v>
          </cell>
          <cell r="O292">
            <v>0</v>
          </cell>
          <cell r="P292">
            <v>0</v>
          </cell>
        </row>
        <row r="293">
          <cell r="G293">
            <v>0</v>
          </cell>
          <cell r="K293">
            <v>0</v>
          </cell>
          <cell r="O293">
            <v>0</v>
          </cell>
          <cell r="P293">
            <v>0</v>
          </cell>
        </row>
        <row r="294">
          <cell r="G294">
            <v>0</v>
          </cell>
          <cell r="K294">
            <v>0</v>
          </cell>
          <cell r="O294">
            <v>0</v>
          </cell>
          <cell r="P294">
            <v>0</v>
          </cell>
        </row>
        <row r="295">
          <cell r="G295">
            <v>0</v>
          </cell>
          <cell r="K295">
            <v>0</v>
          </cell>
          <cell r="O295">
            <v>0</v>
          </cell>
          <cell r="P295">
            <v>0</v>
          </cell>
        </row>
        <row r="296">
          <cell r="G296">
            <v>0</v>
          </cell>
          <cell r="K296">
            <v>0</v>
          </cell>
          <cell r="O296">
            <v>0</v>
          </cell>
          <cell r="P296">
            <v>0</v>
          </cell>
        </row>
        <row r="297">
          <cell r="G297">
            <v>0</v>
          </cell>
          <cell r="K297">
            <v>0</v>
          </cell>
          <cell r="O297">
            <v>0</v>
          </cell>
          <cell r="P297">
            <v>0</v>
          </cell>
        </row>
        <row r="298">
          <cell r="G298">
            <v>0</v>
          </cell>
          <cell r="K298">
            <v>0</v>
          </cell>
          <cell r="O298">
            <v>0</v>
          </cell>
          <cell r="P298">
            <v>0</v>
          </cell>
        </row>
        <row r="299">
          <cell r="G299">
            <v>0</v>
          </cell>
          <cell r="K299">
            <v>0</v>
          </cell>
          <cell r="O299">
            <v>0</v>
          </cell>
          <cell r="P299">
            <v>0</v>
          </cell>
        </row>
        <row r="300">
          <cell r="G300">
            <v>0</v>
          </cell>
          <cell r="K300">
            <v>0</v>
          </cell>
          <cell r="O300">
            <v>0</v>
          </cell>
          <cell r="P300">
            <v>0</v>
          </cell>
        </row>
        <row r="301">
          <cell r="G301">
            <v>0</v>
          </cell>
          <cell r="K301">
            <v>0</v>
          </cell>
          <cell r="O301">
            <v>0</v>
          </cell>
          <cell r="P301">
            <v>0</v>
          </cell>
        </row>
        <row r="302">
          <cell r="G302">
            <v>0</v>
          </cell>
          <cell r="K302">
            <v>0</v>
          </cell>
          <cell r="O302">
            <v>0</v>
          </cell>
          <cell r="P302">
            <v>0</v>
          </cell>
        </row>
        <row r="303">
          <cell r="G303">
            <v>0</v>
          </cell>
          <cell r="K303">
            <v>0</v>
          </cell>
          <cell r="O303">
            <v>0</v>
          </cell>
          <cell r="P303">
            <v>0</v>
          </cell>
        </row>
        <row r="304">
          <cell r="G304">
            <v>0</v>
          </cell>
          <cell r="K304">
            <v>0</v>
          </cell>
          <cell r="O304">
            <v>0</v>
          </cell>
          <cell r="P304">
            <v>0</v>
          </cell>
        </row>
        <row r="305">
          <cell r="G305">
            <v>0</v>
          </cell>
          <cell r="K305">
            <v>0</v>
          </cell>
          <cell r="O305">
            <v>0</v>
          </cell>
          <cell r="P305">
            <v>0</v>
          </cell>
        </row>
        <row r="306">
          <cell r="G306">
            <v>0</v>
          </cell>
          <cell r="K306">
            <v>0</v>
          </cell>
          <cell r="O306">
            <v>0</v>
          </cell>
          <cell r="P306">
            <v>0</v>
          </cell>
        </row>
        <row r="307">
          <cell r="G307">
            <v>0</v>
          </cell>
          <cell r="K307">
            <v>0</v>
          </cell>
          <cell r="O307">
            <v>0</v>
          </cell>
          <cell r="P307">
            <v>0</v>
          </cell>
        </row>
        <row r="308">
          <cell r="G308">
            <v>0</v>
          </cell>
          <cell r="K308">
            <v>0</v>
          </cell>
          <cell r="O308">
            <v>0</v>
          </cell>
          <cell r="P308">
            <v>0</v>
          </cell>
        </row>
        <row r="309">
          <cell r="G309">
            <v>0</v>
          </cell>
          <cell r="K309">
            <v>0</v>
          </cell>
          <cell r="O309">
            <v>0</v>
          </cell>
          <cell r="P309">
            <v>0</v>
          </cell>
        </row>
        <row r="310">
          <cell r="G310">
            <v>0</v>
          </cell>
          <cell r="K310">
            <v>0</v>
          </cell>
          <cell r="O310">
            <v>0</v>
          </cell>
          <cell r="P310">
            <v>0</v>
          </cell>
        </row>
        <row r="311">
          <cell r="G311">
            <v>0</v>
          </cell>
          <cell r="K311">
            <v>0</v>
          </cell>
          <cell r="O311">
            <v>0</v>
          </cell>
          <cell r="P311">
            <v>0</v>
          </cell>
        </row>
        <row r="312">
          <cell r="G312">
            <v>0</v>
          </cell>
          <cell r="K312">
            <v>0</v>
          </cell>
          <cell r="O312">
            <v>0</v>
          </cell>
          <cell r="P312">
            <v>0</v>
          </cell>
        </row>
        <row r="313">
          <cell r="G313">
            <v>0</v>
          </cell>
          <cell r="K313">
            <v>0</v>
          </cell>
          <cell r="O313">
            <v>0</v>
          </cell>
          <cell r="P313">
            <v>0</v>
          </cell>
        </row>
        <row r="314">
          <cell r="G314">
            <v>0</v>
          </cell>
          <cell r="K314">
            <v>0</v>
          </cell>
          <cell r="O314">
            <v>0</v>
          </cell>
          <cell r="P314">
            <v>0</v>
          </cell>
        </row>
        <row r="315">
          <cell r="G315">
            <v>0</v>
          </cell>
          <cell r="K315">
            <v>0</v>
          </cell>
          <cell r="O315">
            <v>0</v>
          </cell>
          <cell r="P315">
            <v>0</v>
          </cell>
        </row>
        <row r="316">
          <cell r="G316">
            <v>0</v>
          </cell>
          <cell r="K316">
            <v>0</v>
          </cell>
          <cell r="O316">
            <v>0</v>
          </cell>
          <cell r="P316">
            <v>0</v>
          </cell>
        </row>
        <row r="317">
          <cell r="G317">
            <v>0</v>
          </cell>
          <cell r="K317">
            <v>0</v>
          </cell>
          <cell r="O317">
            <v>0</v>
          </cell>
          <cell r="P317">
            <v>0</v>
          </cell>
        </row>
        <row r="318">
          <cell r="G318">
            <v>0</v>
          </cell>
          <cell r="K318">
            <v>0</v>
          </cell>
          <cell r="O318">
            <v>0</v>
          </cell>
          <cell r="P318">
            <v>0</v>
          </cell>
        </row>
        <row r="319">
          <cell r="G319">
            <v>0</v>
          </cell>
          <cell r="K319">
            <v>0</v>
          </cell>
          <cell r="O319">
            <v>0</v>
          </cell>
          <cell r="P319">
            <v>0</v>
          </cell>
        </row>
        <row r="320">
          <cell r="G320">
            <v>0</v>
          </cell>
          <cell r="K320">
            <v>0</v>
          </cell>
          <cell r="O320">
            <v>0</v>
          </cell>
          <cell r="P320">
            <v>0</v>
          </cell>
        </row>
        <row r="321">
          <cell r="G321">
            <v>0</v>
          </cell>
          <cell r="K321">
            <v>0</v>
          </cell>
          <cell r="O321">
            <v>0</v>
          </cell>
          <cell r="P321">
            <v>0</v>
          </cell>
        </row>
        <row r="322">
          <cell r="G322">
            <v>0</v>
          </cell>
          <cell r="K322">
            <v>0</v>
          </cell>
          <cell r="O322">
            <v>0</v>
          </cell>
          <cell r="P322">
            <v>0</v>
          </cell>
        </row>
        <row r="323">
          <cell r="G323">
            <v>0</v>
          </cell>
          <cell r="K323">
            <v>0</v>
          </cell>
          <cell r="O323">
            <v>0</v>
          </cell>
          <cell r="P323">
            <v>0</v>
          </cell>
        </row>
        <row r="324">
          <cell r="G324">
            <v>0</v>
          </cell>
          <cell r="K324">
            <v>0</v>
          </cell>
          <cell r="O324">
            <v>0</v>
          </cell>
          <cell r="P324">
            <v>0</v>
          </cell>
        </row>
        <row r="325">
          <cell r="G325">
            <v>0</v>
          </cell>
          <cell r="K325">
            <v>0</v>
          </cell>
          <cell r="O325">
            <v>0</v>
          </cell>
          <cell r="P325">
            <v>0</v>
          </cell>
        </row>
        <row r="326">
          <cell r="G326">
            <v>0</v>
          </cell>
          <cell r="K326">
            <v>0</v>
          </cell>
          <cell r="O326">
            <v>0</v>
          </cell>
          <cell r="P326">
            <v>0</v>
          </cell>
        </row>
        <row r="327">
          <cell r="G327">
            <v>0</v>
          </cell>
          <cell r="K327">
            <v>0</v>
          </cell>
          <cell r="O327">
            <v>0</v>
          </cell>
          <cell r="P327">
            <v>0</v>
          </cell>
        </row>
        <row r="328">
          <cell r="G328">
            <v>0</v>
          </cell>
          <cell r="K328">
            <v>0</v>
          </cell>
          <cell r="O328">
            <v>0</v>
          </cell>
          <cell r="P328">
            <v>0</v>
          </cell>
        </row>
        <row r="329">
          <cell r="G329">
            <v>0</v>
          </cell>
          <cell r="K329">
            <v>0</v>
          </cell>
          <cell r="O329">
            <v>0</v>
          </cell>
          <cell r="P329">
            <v>0</v>
          </cell>
        </row>
        <row r="330">
          <cell r="G330">
            <v>0</v>
          </cell>
          <cell r="K330">
            <v>0</v>
          </cell>
          <cell r="O330">
            <v>0</v>
          </cell>
          <cell r="P330">
            <v>0</v>
          </cell>
        </row>
        <row r="331">
          <cell r="G331">
            <v>0</v>
          </cell>
          <cell r="K331">
            <v>0</v>
          </cell>
          <cell r="O331">
            <v>0</v>
          </cell>
          <cell r="P331">
            <v>0</v>
          </cell>
        </row>
        <row r="332">
          <cell r="G332">
            <v>0</v>
          </cell>
          <cell r="K332">
            <v>0</v>
          </cell>
          <cell r="O332">
            <v>0</v>
          </cell>
          <cell r="P332">
            <v>0</v>
          </cell>
        </row>
        <row r="333">
          <cell r="G333">
            <v>0</v>
          </cell>
          <cell r="K333">
            <v>0</v>
          </cell>
          <cell r="O333">
            <v>0</v>
          </cell>
          <cell r="P333">
            <v>0</v>
          </cell>
        </row>
        <row r="334">
          <cell r="G334">
            <v>0</v>
          </cell>
          <cell r="K334">
            <v>0</v>
          </cell>
          <cell r="O334">
            <v>0</v>
          </cell>
          <cell r="P334">
            <v>0</v>
          </cell>
        </row>
        <row r="335">
          <cell r="G335">
            <v>0</v>
          </cell>
          <cell r="K335">
            <v>0</v>
          </cell>
          <cell r="O335">
            <v>0</v>
          </cell>
          <cell r="P335">
            <v>0</v>
          </cell>
        </row>
        <row r="336">
          <cell r="G336">
            <v>0</v>
          </cell>
          <cell r="K336">
            <v>0</v>
          </cell>
          <cell r="O336">
            <v>0</v>
          </cell>
          <cell r="P336">
            <v>0</v>
          </cell>
        </row>
        <row r="337">
          <cell r="G337">
            <v>0</v>
          </cell>
          <cell r="K337">
            <v>0</v>
          </cell>
          <cell r="O337">
            <v>0</v>
          </cell>
          <cell r="P337">
            <v>0</v>
          </cell>
        </row>
        <row r="338">
          <cell r="G338">
            <v>0</v>
          </cell>
          <cell r="K338">
            <v>0</v>
          </cell>
          <cell r="O338">
            <v>0</v>
          </cell>
          <cell r="P338">
            <v>0</v>
          </cell>
        </row>
        <row r="339">
          <cell r="G339">
            <v>0</v>
          </cell>
          <cell r="K339">
            <v>0</v>
          </cell>
          <cell r="O339">
            <v>0</v>
          </cell>
          <cell r="P339">
            <v>0</v>
          </cell>
        </row>
        <row r="340">
          <cell r="G340">
            <v>0</v>
          </cell>
          <cell r="K340">
            <v>0</v>
          </cell>
          <cell r="O340">
            <v>0</v>
          </cell>
          <cell r="P340">
            <v>0</v>
          </cell>
        </row>
        <row r="341">
          <cell r="G341">
            <v>0</v>
          </cell>
          <cell r="K341">
            <v>0</v>
          </cell>
          <cell r="O341">
            <v>0</v>
          </cell>
          <cell r="P341">
            <v>0</v>
          </cell>
        </row>
        <row r="342">
          <cell r="G342">
            <v>0</v>
          </cell>
          <cell r="K342">
            <v>0</v>
          </cell>
          <cell r="O342">
            <v>0</v>
          </cell>
          <cell r="P342">
            <v>0</v>
          </cell>
        </row>
        <row r="343">
          <cell r="G343">
            <v>0</v>
          </cell>
          <cell r="K343">
            <v>0</v>
          </cell>
          <cell r="O343">
            <v>0</v>
          </cell>
          <cell r="P343">
            <v>0</v>
          </cell>
        </row>
        <row r="344">
          <cell r="G344">
            <v>0</v>
          </cell>
          <cell r="K344">
            <v>0</v>
          </cell>
          <cell r="O344">
            <v>0</v>
          </cell>
          <cell r="P344">
            <v>0</v>
          </cell>
        </row>
        <row r="345">
          <cell r="G345">
            <v>0</v>
          </cell>
          <cell r="K345">
            <v>0</v>
          </cell>
          <cell r="O345">
            <v>0</v>
          </cell>
          <cell r="P345">
            <v>0</v>
          </cell>
        </row>
        <row r="346">
          <cell r="G346">
            <v>0</v>
          </cell>
          <cell r="K346">
            <v>0</v>
          </cell>
          <cell r="O346">
            <v>0</v>
          </cell>
          <cell r="P346">
            <v>0</v>
          </cell>
        </row>
        <row r="347">
          <cell r="G347">
            <v>0</v>
          </cell>
          <cell r="K347">
            <v>0</v>
          </cell>
          <cell r="O347">
            <v>0</v>
          </cell>
          <cell r="P347">
            <v>0</v>
          </cell>
        </row>
        <row r="348">
          <cell r="G348">
            <v>0</v>
          </cell>
          <cell r="K348">
            <v>0</v>
          </cell>
          <cell r="O348">
            <v>0</v>
          </cell>
          <cell r="P348">
            <v>0</v>
          </cell>
        </row>
        <row r="349">
          <cell r="G349">
            <v>0</v>
          </cell>
          <cell r="K349">
            <v>0</v>
          </cell>
          <cell r="O349">
            <v>0</v>
          </cell>
          <cell r="P349">
            <v>0</v>
          </cell>
        </row>
        <row r="350">
          <cell r="G350">
            <v>0</v>
          </cell>
          <cell r="K350">
            <v>0</v>
          </cell>
          <cell r="O350">
            <v>0</v>
          </cell>
          <cell r="P350">
            <v>0</v>
          </cell>
        </row>
        <row r="351">
          <cell r="G351">
            <v>0</v>
          </cell>
          <cell r="K351">
            <v>0</v>
          </cell>
          <cell r="O351">
            <v>0</v>
          </cell>
          <cell r="P351">
            <v>0</v>
          </cell>
        </row>
        <row r="352">
          <cell r="G352">
            <v>0</v>
          </cell>
          <cell r="K352">
            <v>0</v>
          </cell>
          <cell r="O352">
            <v>0</v>
          </cell>
          <cell r="P352">
            <v>0</v>
          </cell>
        </row>
        <row r="353">
          <cell r="G353">
            <v>0</v>
          </cell>
          <cell r="K353">
            <v>0</v>
          </cell>
          <cell r="O353">
            <v>0</v>
          </cell>
          <cell r="P353">
            <v>0</v>
          </cell>
        </row>
        <row r="354">
          <cell r="G354">
            <v>0</v>
          </cell>
          <cell r="K354">
            <v>0</v>
          </cell>
          <cell r="O354">
            <v>0</v>
          </cell>
          <cell r="P354">
            <v>0</v>
          </cell>
        </row>
        <row r="355">
          <cell r="G355">
            <v>0</v>
          </cell>
          <cell r="K355">
            <v>0</v>
          </cell>
          <cell r="O355">
            <v>0</v>
          </cell>
          <cell r="P355">
            <v>0</v>
          </cell>
        </row>
        <row r="356">
          <cell r="G356">
            <v>0</v>
          </cell>
          <cell r="K356">
            <v>0</v>
          </cell>
          <cell r="O356">
            <v>0</v>
          </cell>
          <cell r="P356">
            <v>0</v>
          </cell>
        </row>
        <row r="357">
          <cell r="G357">
            <v>0</v>
          </cell>
          <cell r="K357">
            <v>0</v>
          </cell>
          <cell r="O357">
            <v>0</v>
          </cell>
          <cell r="P357">
            <v>0</v>
          </cell>
        </row>
        <row r="358">
          <cell r="G358">
            <v>0</v>
          </cell>
          <cell r="K358">
            <v>0</v>
          </cell>
          <cell r="O358">
            <v>0</v>
          </cell>
          <cell r="P358">
            <v>0</v>
          </cell>
        </row>
        <row r="359">
          <cell r="G359">
            <v>0</v>
          </cell>
          <cell r="K359">
            <v>0</v>
          </cell>
          <cell r="O359">
            <v>0</v>
          </cell>
          <cell r="P359">
            <v>0</v>
          </cell>
        </row>
        <row r="360">
          <cell r="G360">
            <v>0</v>
          </cell>
          <cell r="K360">
            <v>0</v>
          </cell>
          <cell r="O360">
            <v>0</v>
          </cell>
          <cell r="P360">
            <v>0</v>
          </cell>
        </row>
        <row r="361">
          <cell r="G361">
            <v>0</v>
          </cell>
          <cell r="K361">
            <v>0</v>
          </cell>
          <cell r="O361">
            <v>0</v>
          </cell>
          <cell r="P361">
            <v>0</v>
          </cell>
        </row>
        <row r="362">
          <cell r="G362">
            <v>0</v>
          </cell>
          <cell r="K362">
            <v>0</v>
          </cell>
          <cell r="O362">
            <v>0</v>
          </cell>
          <cell r="P362">
            <v>0</v>
          </cell>
        </row>
        <row r="363">
          <cell r="G363">
            <v>0</v>
          </cell>
          <cell r="K363">
            <v>0</v>
          </cell>
          <cell r="O363">
            <v>0</v>
          </cell>
          <cell r="P363">
            <v>0</v>
          </cell>
        </row>
        <row r="364">
          <cell r="G364">
            <v>0</v>
          </cell>
          <cell r="K364">
            <v>0</v>
          </cell>
          <cell r="O364">
            <v>0</v>
          </cell>
          <cell r="P364">
            <v>0</v>
          </cell>
        </row>
        <row r="365">
          <cell r="G365">
            <v>0</v>
          </cell>
          <cell r="K365">
            <v>0</v>
          </cell>
          <cell r="O365">
            <v>0</v>
          </cell>
          <cell r="P365">
            <v>0</v>
          </cell>
        </row>
        <row r="366">
          <cell r="G366">
            <v>0</v>
          </cell>
          <cell r="K366">
            <v>0</v>
          </cell>
          <cell r="O366">
            <v>0</v>
          </cell>
          <cell r="P366">
            <v>0</v>
          </cell>
        </row>
        <row r="367">
          <cell r="G367">
            <v>0</v>
          </cell>
          <cell r="K367">
            <v>0</v>
          </cell>
          <cell r="O367">
            <v>0</v>
          </cell>
          <cell r="P367">
            <v>0</v>
          </cell>
        </row>
        <row r="368">
          <cell r="G368">
            <v>0</v>
          </cell>
          <cell r="K368">
            <v>0</v>
          </cell>
          <cell r="O368">
            <v>0</v>
          </cell>
          <cell r="P368">
            <v>0</v>
          </cell>
        </row>
        <row r="369">
          <cell r="G369">
            <v>0</v>
          </cell>
          <cell r="K369">
            <v>0</v>
          </cell>
          <cell r="O369">
            <v>0</v>
          </cell>
          <cell r="P369">
            <v>0</v>
          </cell>
        </row>
        <row r="370">
          <cell r="G370">
            <v>0</v>
          </cell>
          <cell r="K370">
            <v>0</v>
          </cell>
          <cell r="O370">
            <v>0</v>
          </cell>
          <cell r="P370">
            <v>0</v>
          </cell>
        </row>
        <row r="371">
          <cell r="G371">
            <v>0</v>
          </cell>
          <cell r="K371">
            <v>0</v>
          </cell>
          <cell r="O371">
            <v>0</v>
          </cell>
          <cell r="P371">
            <v>0</v>
          </cell>
        </row>
        <row r="372">
          <cell r="G372">
            <v>0</v>
          </cell>
          <cell r="K372">
            <v>0</v>
          </cell>
          <cell r="O372">
            <v>0</v>
          </cell>
          <cell r="P372">
            <v>0</v>
          </cell>
        </row>
        <row r="373">
          <cell r="G373">
            <v>0</v>
          </cell>
          <cell r="K373">
            <v>0</v>
          </cell>
          <cell r="O373">
            <v>0</v>
          </cell>
          <cell r="P373">
            <v>0</v>
          </cell>
        </row>
        <row r="374">
          <cell r="G374">
            <v>0</v>
          </cell>
          <cell r="K374">
            <v>0</v>
          </cell>
          <cell r="O374">
            <v>0</v>
          </cell>
          <cell r="P374">
            <v>0</v>
          </cell>
        </row>
        <row r="375">
          <cell r="G375">
            <v>0</v>
          </cell>
          <cell r="K375">
            <v>0</v>
          </cell>
          <cell r="O375">
            <v>0</v>
          </cell>
          <cell r="P375">
            <v>0</v>
          </cell>
        </row>
        <row r="376">
          <cell r="G376">
            <v>0</v>
          </cell>
          <cell r="K376">
            <v>0</v>
          </cell>
          <cell r="O376">
            <v>0</v>
          </cell>
          <cell r="P376">
            <v>0</v>
          </cell>
        </row>
        <row r="377">
          <cell r="G377">
            <v>0</v>
          </cell>
          <cell r="K377">
            <v>0</v>
          </cell>
          <cell r="O377">
            <v>0</v>
          </cell>
          <cell r="P377">
            <v>0</v>
          </cell>
        </row>
        <row r="378">
          <cell r="G378">
            <v>0</v>
          </cell>
          <cell r="K378">
            <v>0</v>
          </cell>
          <cell r="O378">
            <v>0</v>
          </cell>
          <cell r="P378">
            <v>0</v>
          </cell>
        </row>
        <row r="379">
          <cell r="G379">
            <v>0</v>
          </cell>
          <cell r="K379">
            <v>0</v>
          </cell>
          <cell r="O379">
            <v>0</v>
          </cell>
          <cell r="P379">
            <v>0</v>
          </cell>
        </row>
        <row r="380">
          <cell r="G380">
            <v>0</v>
          </cell>
          <cell r="K380">
            <v>0</v>
          </cell>
          <cell r="O380">
            <v>0</v>
          </cell>
          <cell r="P380">
            <v>0</v>
          </cell>
        </row>
        <row r="381">
          <cell r="G381">
            <v>0</v>
          </cell>
          <cell r="K381">
            <v>0</v>
          </cell>
          <cell r="O381">
            <v>0</v>
          </cell>
          <cell r="P381">
            <v>0</v>
          </cell>
        </row>
        <row r="382">
          <cell r="G382">
            <v>0</v>
          </cell>
          <cell r="K382">
            <v>0</v>
          </cell>
          <cell r="O382">
            <v>0</v>
          </cell>
          <cell r="P382">
            <v>0</v>
          </cell>
        </row>
        <row r="383">
          <cell r="G383">
            <v>0</v>
          </cell>
          <cell r="K383">
            <v>0</v>
          </cell>
          <cell r="O383">
            <v>0</v>
          </cell>
          <cell r="P383">
            <v>0</v>
          </cell>
        </row>
        <row r="384">
          <cell r="G384">
            <v>0</v>
          </cell>
          <cell r="K384">
            <v>0</v>
          </cell>
          <cell r="O384">
            <v>0</v>
          </cell>
          <cell r="P384">
            <v>0</v>
          </cell>
        </row>
        <row r="385">
          <cell r="G385">
            <v>0</v>
          </cell>
          <cell r="K385">
            <v>0</v>
          </cell>
          <cell r="O385">
            <v>0</v>
          </cell>
          <cell r="P385">
            <v>0</v>
          </cell>
        </row>
        <row r="386">
          <cell r="G386">
            <v>0</v>
          </cell>
          <cell r="K386">
            <v>0</v>
          </cell>
          <cell r="O386">
            <v>0</v>
          </cell>
          <cell r="P386">
            <v>0</v>
          </cell>
        </row>
        <row r="387">
          <cell r="G387">
            <v>0</v>
          </cell>
          <cell r="K387">
            <v>0</v>
          </cell>
          <cell r="O387">
            <v>0</v>
          </cell>
          <cell r="P387">
            <v>0</v>
          </cell>
        </row>
        <row r="388">
          <cell r="G388">
            <v>0</v>
          </cell>
          <cell r="K388">
            <v>0</v>
          </cell>
          <cell r="O388">
            <v>0</v>
          </cell>
          <cell r="P388">
            <v>0</v>
          </cell>
        </row>
        <row r="389">
          <cell r="G389">
            <v>0</v>
          </cell>
          <cell r="K389">
            <v>0</v>
          </cell>
          <cell r="O389">
            <v>0</v>
          </cell>
          <cell r="P389">
            <v>0</v>
          </cell>
        </row>
        <row r="390">
          <cell r="G390">
            <v>0</v>
          </cell>
          <cell r="K390">
            <v>0</v>
          </cell>
          <cell r="O390">
            <v>0</v>
          </cell>
          <cell r="P390">
            <v>0</v>
          </cell>
        </row>
        <row r="391">
          <cell r="G391">
            <v>0</v>
          </cell>
          <cell r="K391">
            <v>0</v>
          </cell>
          <cell r="O391">
            <v>0</v>
          </cell>
          <cell r="P391">
            <v>0</v>
          </cell>
        </row>
        <row r="392">
          <cell r="G392">
            <v>0</v>
          </cell>
          <cell r="K392">
            <v>0</v>
          </cell>
          <cell r="O392">
            <v>0</v>
          </cell>
          <cell r="P392">
            <v>0</v>
          </cell>
        </row>
        <row r="393">
          <cell r="G393">
            <v>0</v>
          </cell>
          <cell r="K393">
            <v>0</v>
          </cell>
          <cell r="O393">
            <v>0</v>
          </cell>
          <cell r="P393">
            <v>0</v>
          </cell>
        </row>
        <row r="394">
          <cell r="G394">
            <v>0</v>
          </cell>
          <cell r="K394">
            <v>0</v>
          </cell>
          <cell r="O394">
            <v>0</v>
          </cell>
          <cell r="P394">
            <v>0</v>
          </cell>
        </row>
        <row r="395">
          <cell r="G395">
            <v>0</v>
          </cell>
          <cell r="K395">
            <v>0</v>
          </cell>
          <cell r="O395">
            <v>0</v>
          </cell>
          <cell r="P395">
            <v>0</v>
          </cell>
        </row>
        <row r="396">
          <cell r="G396">
            <v>0</v>
          </cell>
          <cell r="K396">
            <v>0</v>
          </cell>
          <cell r="O396">
            <v>0</v>
          </cell>
          <cell r="P396">
            <v>0</v>
          </cell>
        </row>
        <row r="397">
          <cell r="G397">
            <v>0</v>
          </cell>
          <cell r="K397">
            <v>0</v>
          </cell>
          <cell r="O397">
            <v>0</v>
          </cell>
          <cell r="P397">
            <v>0</v>
          </cell>
        </row>
        <row r="398">
          <cell r="G398">
            <v>0</v>
          </cell>
          <cell r="K398">
            <v>0</v>
          </cell>
          <cell r="O398">
            <v>0</v>
          </cell>
          <cell r="P398">
            <v>0</v>
          </cell>
        </row>
        <row r="399">
          <cell r="G399">
            <v>0</v>
          </cell>
          <cell r="K399">
            <v>0</v>
          </cell>
          <cell r="O399">
            <v>0</v>
          </cell>
          <cell r="P399">
            <v>0</v>
          </cell>
        </row>
        <row r="400">
          <cell r="G400">
            <v>0</v>
          </cell>
          <cell r="K400">
            <v>0</v>
          </cell>
          <cell r="O400">
            <v>0</v>
          </cell>
          <cell r="P400">
            <v>0</v>
          </cell>
        </row>
        <row r="401">
          <cell r="G401">
            <v>0</v>
          </cell>
          <cell r="K401">
            <v>0</v>
          </cell>
          <cell r="O401">
            <v>0</v>
          </cell>
          <cell r="P401">
            <v>0</v>
          </cell>
        </row>
        <row r="402">
          <cell r="G402">
            <v>0</v>
          </cell>
          <cell r="K402">
            <v>0</v>
          </cell>
          <cell r="O402">
            <v>0</v>
          </cell>
          <cell r="P402">
            <v>0</v>
          </cell>
        </row>
        <row r="403">
          <cell r="G403">
            <v>0</v>
          </cell>
          <cell r="K403">
            <v>0</v>
          </cell>
          <cell r="O403">
            <v>0</v>
          </cell>
          <cell r="P403">
            <v>0</v>
          </cell>
        </row>
        <row r="404">
          <cell r="G404">
            <v>0</v>
          </cell>
          <cell r="K404">
            <v>0</v>
          </cell>
          <cell r="O404">
            <v>0</v>
          </cell>
          <cell r="P404">
            <v>0</v>
          </cell>
        </row>
        <row r="405">
          <cell r="G405">
            <v>0</v>
          </cell>
          <cell r="K405">
            <v>0</v>
          </cell>
          <cell r="O405">
            <v>0</v>
          </cell>
          <cell r="P405">
            <v>0</v>
          </cell>
        </row>
        <row r="406">
          <cell r="G406">
            <v>0</v>
          </cell>
          <cell r="K406">
            <v>0</v>
          </cell>
          <cell r="O406">
            <v>0</v>
          </cell>
          <cell r="P406">
            <v>0</v>
          </cell>
        </row>
        <row r="407">
          <cell r="G407">
            <v>0</v>
          </cell>
          <cell r="K407">
            <v>0</v>
          </cell>
          <cell r="O407">
            <v>0</v>
          </cell>
          <cell r="P407">
            <v>0</v>
          </cell>
        </row>
        <row r="408">
          <cell r="G408">
            <v>0</v>
          </cell>
          <cell r="K408">
            <v>0</v>
          </cell>
          <cell r="O408">
            <v>0</v>
          </cell>
          <cell r="P408">
            <v>0</v>
          </cell>
        </row>
        <row r="409">
          <cell r="G409">
            <v>0</v>
          </cell>
          <cell r="K409">
            <v>0</v>
          </cell>
          <cell r="O409">
            <v>0</v>
          </cell>
          <cell r="P409">
            <v>0</v>
          </cell>
        </row>
        <row r="410">
          <cell r="G410">
            <v>0</v>
          </cell>
          <cell r="K410">
            <v>0</v>
          </cell>
          <cell r="O410">
            <v>0</v>
          </cell>
          <cell r="P410">
            <v>0</v>
          </cell>
        </row>
        <row r="411">
          <cell r="G411">
            <v>0</v>
          </cell>
          <cell r="K411">
            <v>0</v>
          </cell>
          <cell r="O411">
            <v>0</v>
          </cell>
          <cell r="P411">
            <v>0</v>
          </cell>
        </row>
        <row r="412">
          <cell r="G412">
            <v>0</v>
          </cell>
          <cell r="K412">
            <v>0</v>
          </cell>
          <cell r="O412">
            <v>0</v>
          </cell>
          <cell r="P412">
            <v>0</v>
          </cell>
        </row>
        <row r="413">
          <cell r="G413">
            <v>0</v>
          </cell>
          <cell r="K413">
            <v>0</v>
          </cell>
          <cell r="O413">
            <v>0</v>
          </cell>
          <cell r="P413">
            <v>0</v>
          </cell>
        </row>
        <row r="414">
          <cell r="G414">
            <v>0</v>
          </cell>
          <cell r="K414">
            <v>0</v>
          </cell>
          <cell r="O414">
            <v>0</v>
          </cell>
          <cell r="P414">
            <v>0</v>
          </cell>
        </row>
        <row r="415">
          <cell r="G415">
            <v>0</v>
          </cell>
          <cell r="K415">
            <v>0</v>
          </cell>
          <cell r="O415">
            <v>0</v>
          </cell>
          <cell r="P415">
            <v>0</v>
          </cell>
        </row>
        <row r="416">
          <cell r="G416">
            <v>0</v>
          </cell>
          <cell r="K416">
            <v>0</v>
          </cell>
          <cell r="O416">
            <v>0</v>
          </cell>
          <cell r="P416">
            <v>0</v>
          </cell>
        </row>
        <row r="417">
          <cell r="G417">
            <v>0</v>
          </cell>
          <cell r="K417">
            <v>0</v>
          </cell>
          <cell r="O417">
            <v>0</v>
          </cell>
          <cell r="P417">
            <v>0</v>
          </cell>
        </row>
        <row r="418">
          <cell r="G418">
            <v>0</v>
          </cell>
          <cell r="K418">
            <v>0</v>
          </cell>
          <cell r="O418">
            <v>0</v>
          </cell>
          <cell r="P418">
            <v>0</v>
          </cell>
        </row>
        <row r="419">
          <cell r="G419">
            <v>0</v>
          </cell>
          <cell r="K419">
            <v>0</v>
          </cell>
          <cell r="O419">
            <v>0</v>
          </cell>
          <cell r="P419">
            <v>0</v>
          </cell>
        </row>
        <row r="420">
          <cell r="G420">
            <v>0</v>
          </cell>
          <cell r="K420">
            <v>0</v>
          </cell>
          <cell r="O420">
            <v>0</v>
          </cell>
          <cell r="P420">
            <v>0</v>
          </cell>
        </row>
        <row r="421">
          <cell r="G421">
            <v>0</v>
          </cell>
          <cell r="K421">
            <v>0</v>
          </cell>
          <cell r="O421">
            <v>0</v>
          </cell>
          <cell r="P421">
            <v>0</v>
          </cell>
        </row>
        <row r="422">
          <cell r="G422">
            <v>0</v>
          </cell>
          <cell r="K422">
            <v>0</v>
          </cell>
          <cell r="O422">
            <v>0</v>
          </cell>
          <cell r="P422">
            <v>0</v>
          </cell>
        </row>
        <row r="423">
          <cell r="G423">
            <v>0</v>
          </cell>
          <cell r="K423">
            <v>0</v>
          </cell>
          <cell r="O423">
            <v>0</v>
          </cell>
          <cell r="P423">
            <v>0</v>
          </cell>
        </row>
        <row r="424">
          <cell r="G424">
            <v>0</v>
          </cell>
          <cell r="K424">
            <v>0</v>
          </cell>
          <cell r="O424">
            <v>0</v>
          </cell>
          <cell r="P424">
            <v>0</v>
          </cell>
        </row>
        <row r="425">
          <cell r="G425">
            <v>0</v>
          </cell>
          <cell r="K425">
            <v>0</v>
          </cell>
          <cell r="O425">
            <v>0</v>
          </cell>
          <cell r="P425">
            <v>0</v>
          </cell>
        </row>
        <row r="426">
          <cell r="G426">
            <v>0</v>
          </cell>
          <cell r="K426">
            <v>0</v>
          </cell>
          <cell r="O426">
            <v>0</v>
          </cell>
          <cell r="P426">
            <v>0</v>
          </cell>
        </row>
        <row r="427">
          <cell r="G427">
            <v>0</v>
          </cell>
          <cell r="K427">
            <v>0</v>
          </cell>
          <cell r="O427">
            <v>0</v>
          </cell>
          <cell r="P427">
            <v>0</v>
          </cell>
        </row>
        <row r="428">
          <cell r="G428">
            <v>0</v>
          </cell>
          <cell r="K428">
            <v>0</v>
          </cell>
          <cell r="O428">
            <v>0</v>
          </cell>
          <cell r="P428">
            <v>0</v>
          </cell>
        </row>
        <row r="429">
          <cell r="G429">
            <v>0</v>
          </cell>
          <cell r="K429">
            <v>0</v>
          </cell>
          <cell r="O429">
            <v>0</v>
          </cell>
          <cell r="P429">
            <v>0</v>
          </cell>
        </row>
        <row r="430">
          <cell r="G430">
            <v>0</v>
          </cell>
          <cell r="K430">
            <v>0</v>
          </cell>
          <cell r="O430">
            <v>0</v>
          </cell>
          <cell r="P430">
            <v>0</v>
          </cell>
        </row>
        <row r="431">
          <cell r="G431">
            <v>0</v>
          </cell>
          <cell r="K431">
            <v>0</v>
          </cell>
          <cell r="O431">
            <v>0</v>
          </cell>
          <cell r="P431">
            <v>0</v>
          </cell>
        </row>
        <row r="432">
          <cell r="G432">
            <v>0</v>
          </cell>
          <cell r="K432">
            <v>0</v>
          </cell>
          <cell r="O432">
            <v>0</v>
          </cell>
          <cell r="P432">
            <v>0</v>
          </cell>
        </row>
        <row r="433">
          <cell r="G433">
            <v>0</v>
          </cell>
          <cell r="K433">
            <v>0</v>
          </cell>
          <cell r="O433">
            <v>0</v>
          </cell>
          <cell r="P433">
            <v>0</v>
          </cell>
        </row>
        <row r="434">
          <cell r="G434">
            <v>0</v>
          </cell>
          <cell r="K434">
            <v>0</v>
          </cell>
          <cell r="O434">
            <v>0</v>
          </cell>
          <cell r="P434">
            <v>0</v>
          </cell>
        </row>
        <row r="435">
          <cell r="G435">
            <v>0</v>
          </cell>
          <cell r="K435">
            <v>0</v>
          </cell>
          <cell r="O435">
            <v>0</v>
          </cell>
          <cell r="P435">
            <v>0</v>
          </cell>
        </row>
        <row r="436">
          <cell r="G436">
            <v>0</v>
          </cell>
          <cell r="K436">
            <v>0</v>
          </cell>
          <cell r="O436">
            <v>0</v>
          </cell>
          <cell r="P436">
            <v>0</v>
          </cell>
        </row>
        <row r="437">
          <cell r="G437">
            <v>0</v>
          </cell>
          <cell r="K437">
            <v>0</v>
          </cell>
          <cell r="O437">
            <v>0</v>
          </cell>
          <cell r="P437">
            <v>0</v>
          </cell>
        </row>
        <row r="438">
          <cell r="G438">
            <v>0</v>
          </cell>
          <cell r="K438">
            <v>0</v>
          </cell>
          <cell r="O438">
            <v>0</v>
          </cell>
          <cell r="P438">
            <v>0</v>
          </cell>
        </row>
        <row r="439">
          <cell r="G439">
            <v>0</v>
          </cell>
          <cell r="K439">
            <v>0</v>
          </cell>
          <cell r="O439">
            <v>0</v>
          </cell>
          <cell r="P439">
            <v>0</v>
          </cell>
        </row>
        <row r="440">
          <cell r="G440">
            <v>0</v>
          </cell>
          <cell r="K440">
            <v>0</v>
          </cell>
          <cell r="O440">
            <v>0</v>
          </cell>
          <cell r="P440">
            <v>0</v>
          </cell>
        </row>
        <row r="441">
          <cell r="G441">
            <v>0</v>
          </cell>
          <cell r="K441">
            <v>0</v>
          </cell>
          <cell r="O441">
            <v>0</v>
          </cell>
          <cell r="P441">
            <v>0</v>
          </cell>
        </row>
        <row r="442">
          <cell r="G442">
            <v>0</v>
          </cell>
          <cell r="K442">
            <v>0</v>
          </cell>
          <cell r="O442">
            <v>0</v>
          </cell>
          <cell r="P442">
            <v>0</v>
          </cell>
        </row>
        <row r="443">
          <cell r="G443">
            <v>0</v>
          </cell>
          <cell r="K443">
            <v>0</v>
          </cell>
          <cell r="O443">
            <v>0</v>
          </cell>
          <cell r="P443">
            <v>0</v>
          </cell>
        </row>
        <row r="444">
          <cell r="G444">
            <v>0</v>
          </cell>
          <cell r="K444">
            <v>0</v>
          </cell>
          <cell r="O444">
            <v>0</v>
          </cell>
          <cell r="P444">
            <v>0</v>
          </cell>
        </row>
        <row r="445">
          <cell r="G445">
            <v>0</v>
          </cell>
          <cell r="K445">
            <v>0</v>
          </cell>
          <cell r="O445">
            <v>0</v>
          </cell>
          <cell r="P445">
            <v>0</v>
          </cell>
        </row>
        <row r="446">
          <cell r="G446">
            <v>0</v>
          </cell>
          <cell r="K446">
            <v>0</v>
          </cell>
          <cell r="O446">
            <v>0</v>
          </cell>
          <cell r="P446">
            <v>0</v>
          </cell>
        </row>
        <row r="447">
          <cell r="G447">
            <v>0</v>
          </cell>
          <cell r="K447">
            <v>0</v>
          </cell>
          <cell r="O447">
            <v>0</v>
          </cell>
          <cell r="P447">
            <v>0</v>
          </cell>
        </row>
        <row r="448">
          <cell r="G448">
            <v>0</v>
          </cell>
          <cell r="K448">
            <v>0</v>
          </cell>
          <cell r="O448">
            <v>0</v>
          </cell>
          <cell r="P448">
            <v>0</v>
          </cell>
        </row>
        <row r="449">
          <cell r="G449">
            <v>0</v>
          </cell>
          <cell r="K449">
            <v>0</v>
          </cell>
          <cell r="O449">
            <v>0</v>
          </cell>
          <cell r="P449">
            <v>0</v>
          </cell>
        </row>
        <row r="450">
          <cell r="G450">
            <v>0</v>
          </cell>
          <cell r="K450">
            <v>0</v>
          </cell>
          <cell r="O450">
            <v>0</v>
          </cell>
          <cell r="P450">
            <v>0</v>
          </cell>
        </row>
        <row r="451">
          <cell r="G451">
            <v>0</v>
          </cell>
          <cell r="K451">
            <v>0</v>
          </cell>
          <cell r="O451">
            <v>0</v>
          </cell>
          <cell r="P451">
            <v>0</v>
          </cell>
        </row>
        <row r="452">
          <cell r="G452">
            <v>0</v>
          </cell>
          <cell r="K452">
            <v>0</v>
          </cell>
          <cell r="O452">
            <v>0</v>
          </cell>
          <cell r="P452">
            <v>0</v>
          </cell>
        </row>
        <row r="453">
          <cell r="G453">
            <v>0</v>
          </cell>
          <cell r="K453">
            <v>0</v>
          </cell>
          <cell r="O453">
            <v>0</v>
          </cell>
          <cell r="P453">
            <v>0</v>
          </cell>
        </row>
        <row r="454">
          <cell r="G454">
            <v>0</v>
          </cell>
          <cell r="K454">
            <v>0</v>
          </cell>
          <cell r="O454">
            <v>0</v>
          </cell>
          <cell r="P454">
            <v>0</v>
          </cell>
        </row>
        <row r="455">
          <cell r="G455">
            <v>0</v>
          </cell>
          <cell r="K455">
            <v>0</v>
          </cell>
          <cell r="O455">
            <v>0</v>
          </cell>
          <cell r="P455">
            <v>0</v>
          </cell>
        </row>
        <row r="456">
          <cell r="G456">
            <v>0</v>
          </cell>
          <cell r="K456">
            <v>0</v>
          </cell>
          <cell r="O456">
            <v>0</v>
          </cell>
          <cell r="P456">
            <v>0</v>
          </cell>
        </row>
        <row r="457">
          <cell r="G457">
            <v>0</v>
          </cell>
          <cell r="K457">
            <v>0</v>
          </cell>
          <cell r="O457">
            <v>0</v>
          </cell>
          <cell r="P457">
            <v>0</v>
          </cell>
        </row>
        <row r="458">
          <cell r="G458">
            <v>0</v>
          </cell>
          <cell r="K458">
            <v>0</v>
          </cell>
          <cell r="O458">
            <v>0</v>
          </cell>
          <cell r="P458">
            <v>0</v>
          </cell>
        </row>
        <row r="459">
          <cell r="G459">
            <v>0</v>
          </cell>
          <cell r="K459">
            <v>0</v>
          </cell>
          <cell r="O459">
            <v>0</v>
          </cell>
          <cell r="P459">
            <v>0</v>
          </cell>
        </row>
        <row r="460">
          <cell r="G460">
            <v>0</v>
          </cell>
          <cell r="K460">
            <v>0</v>
          </cell>
          <cell r="O460">
            <v>0</v>
          </cell>
          <cell r="P460">
            <v>0</v>
          </cell>
        </row>
        <row r="461">
          <cell r="G461">
            <v>0</v>
          </cell>
          <cell r="K461">
            <v>0</v>
          </cell>
          <cell r="O461">
            <v>0</v>
          </cell>
          <cell r="P461">
            <v>0</v>
          </cell>
        </row>
        <row r="462">
          <cell r="G462">
            <v>0</v>
          </cell>
          <cell r="K462">
            <v>0</v>
          </cell>
          <cell r="O462">
            <v>0</v>
          </cell>
          <cell r="P462">
            <v>0</v>
          </cell>
        </row>
        <row r="463">
          <cell r="G463">
            <v>0</v>
          </cell>
          <cell r="K463">
            <v>0</v>
          </cell>
          <cell r="O463">
            <v>0</v>
          </cell>
          <cell r="P463">
            <v>0</v>
          </cell>
        </row>
        <row r="464">
          <cell r="G464">
            <v>0</v>
          </cell>
          <cell r="K464">
            <v>0</v>
          </cell>
          <cell r="O464">
            <v>0</v>
          </cell>
          <cell r="P464">
            <v>0</v>
          </cell>
        </row>
        <row r="465">
          <cell r="G465">
            <v>0</v>
          </cell>
          <cell r="K465">
            <v>0</v>
          </cell>
          <cell r="O465">
            <v>0</v>
          </cell>
          <cell r="P465">
            <v>0</v>
          </cell>
        </row>
        <row r="466">
          <cell r="G466">
            <v>0</v>
          </cell>
          <cell r="K466">
            <v>0</v>
          </cell>
          <cell r="O466">
            <v>0</v>
          </cell>
          <cell r="P466">
            <v>0</v>
          </cell>
        </row>
        <row r="467">
          <cell r="G467">
            <v>0</v>
          </cell>
          <cell r="K467">
            <v>0</v>
          </cell>
          <cell r="O467">
            <v>0</v>
          </cell>
          <cell r="P467">
            <v>0</v>
          </cell>
        </row>
        <row r="468">
          <cell r="G468">
            <v>0</v>
          </cell>
          <cell r="K468">
            <v>0</v>
          </cell>
          <cell r="O468">
            <v>0</v>
          </cell>
          <cell r="P468">
            <v>0</v>
          </cell>
        </row>
        <row r="469">
          <cell r="G469">
            <v>0</v>
          </cell>
          <cell r="K469">
            <v>0</v>
          </cell>
          <cell r="O469">
            <v>0</v>
          </cell>
          <cell r="P469">
            <v>0</v>
          </cell>
        </row>
        <row r="470">
          <cell r="G470">
            <v>0</v>
          </cell>
          <cell r="K470">
            <v>0</v>
          </cell>
          <cell r="O470">
            <v>0</v>
          </cell>
          <cell r="P470">
            <v>0</v>
          </cell>
        </row>
        <row r="471">
          <cell r="G471">
            <v>0</v>
          </cell>
          <cell r="K471">
            <v>0</v>
          </cell>
          <cell r="O471">
            <v>0</v>
          </cell>
          <cell r="P471">
            <v>0</v>
          </cell>
        </row>
        <row r="472">
          <cell r="G472">
            <v>0</v>
          </cell>
          <cell r="K472">
            <v>0</v>
          </cell>
          <cell r="O472">
            <v>0</v>
          </cell>
          <cell r="P472">
            <v>0</v>
          </cell>
        </row>
        <row r="473">
          <cell r="G473">
            <v>0</v>
          </cell>
          <cell r="K473">
            <v>0</v>
          </cell>
          <cell r="O473">
            <v>0</v>
          </cell>
          <cell r="P473">
            <v>0</v>
          </cell>
        </row>
        <row r="474">
          <cell r="G474">
            <v>0</v>
          </cell>
          <cell r="K474">
            <v>0</v>
          </cell>
          <cell r="O474">
            <v>0</v>
          </cell>
          <cell r="P474">
            <v>0</v>
          </cell>
        </row>
        <row r="475">
          <cell r="G475">
            <v>0</v>
          </cell>
          <cell r="K475">
            <v>0</v>
          </cell>
          <cell r="O475">
            <v>0</v>
          </cell>
          <cell r="P475">
            <v>0</v>
          </cell>
        </row>
        <row r="476">
          <cell r="G476">
            <v>0</v>
          </cell>
          <cell r="K476">
            <v>0</v>
          </cell>
          <cell r="O476">
            <v>0</v>
          </cell>
          <cell r="P476">
            <v>0</v>
          </cell>
        </row>
        <row r="477">
          <cell r="G477">
            <v>0</v>
          </cell>
          <cell r="K477">
            <v>0</v>
          </cell>
          <cell r="O477">
            <v>0</v>
          </cell>
          <cell r="P477">
            <v>0</v>
          </cell>
        </row>
        <row r="478">
          <cell r="G478">
            <v>0</v>
          </cell>
          <cell r="K478">
            <v>0</v>
          </cell>
          <cell r="O478">
            <v>0</v>
          </cell>
          <cell r="P478">
            <v>0</v>
          </cell>
        </row>
        <row r="479">
          <cell r="G479">
            <v>0</v>
          </cell>
          <cell r="K479">
            <v>0</v>
          </cell>
          <cell r="O479">
            <v>0</v>
          </cell>
          <cell r="P479">
            <v>0</v>
          </cell>
        </row>
        <row r="480">
          <cell r="G480">
            <v>0</v>
          </cell>
          <cell r="K480">
            <v>0</v>
          </cell>
          <cell r="O480">
            <v>0</v>
          </cell>
          <cell r="P480">
            <v>0</v>
          </cell>
        </row>
        <row r="481">
          <cell r="G481">
            <v>0</v>
          </cell>
          <cell r="K481">
            <v>0</v>
          </cell>
          <cell r="O481">
            <v>0</v>
          </cell>
          <cell r="P481">
            <v>0</v>
          </cell>
        </row>
        <row r="482">
          <cell r="G482">
            <v>0</v>
          </cell>
          <cell r="K482">
            <v>0</v>
          </cell>
          <cell r="O482">
            <v>0</v>
          </cell>
          <cell r="P482">
            <v>0</v>
          </cell>
        </row>
        <row r="483">
          <cell r="G483">
            <v>0</v>
          </cell>
          <cell r="K483">
            <v>0</v>
          </cell>
          <cell r="O483">
            <v>0</v>
          </cell>
          <cell r="P483">
            <v>0</v>
          </cell>
        </row>
        <row r="484">
          <cell r="G484">
            <v>0</v>
          </cell>
          <cell r="K484">
            <v>0</v>
          </cell>
          <cell r="O484">
            <v>0</v>
          </cell>
          <cell r="P484">
            <v>0</v>
          </cell>
        </row>
        <row r="485">
          <cell r="G485">
            <v>0</v>
          </cell>
          <cell r="K485">
            <v>0</v>
          </cell>
          <cell r="O485">
            <v>0</v>
          </cell>
          <cell r="P485">
            <v>0</v>
          </cell>
        </row>
        <row r="486">
          <cell r="G486">
            <v>0</v>
          </cell>
          <cell r="K486">
            <v>0</v>
          </cell>
          <cell r="O486">
            <v>0</v>
          </cell>
          <cell r="P486">
            <v>0</v>
          </cell>
        </row>
        <row r="487">
          <cell r="G487">
            <v>0</v>
          </cell>
          <cell r="K487">
            <v>0</v>
          </cell>
          <cell r="O487">
            <v>0</v>
          </cell>
          <cell r="P487">
            <v>0</v>
          </cell>
        </row>
        <row r="488">
          <cell r="G488">
            <v>0</v>
          </cell>
          <cell r="K488">
            <v>0</v>
          </cell>
          <cell r="O488">
            <v>0</v>
          </cell>
          <cell r="P488">
            <v>0</v>
          </cell>
        </row>
        <row r="489">
          <cell r="G489">
            <v>0</v>
          </cell>
          <cell r="K489">
            <v>0</v>
          </cell>
          <cell r="O489">
            <v>0</v>
          </cell>
          <cell r="P489">
            <v>0</v>
          </cell>
        </row>
        <row r="490">
          <cell r="G490">
            <v>0</v>
          </cell>
          <cell r="K490">
            <v>0</v>
          </cell>
          <cell r="O490">
            <v>0</v>
          </cell>
          <cell r="P490">
            <v>0</v>
          </cell>
        </row>
        <row r="491">
          <cell r="G491">
            <v>0</v>
          </cell>
          <cell r="K491">
            <v>0</v>
          </cell>
          <cell r="O491">
            <v>0</v>
          </cell>
          <cell r="P491">
            <v>0</v>
          </cell>
        </row>
        <row r="492">
          <cell r="G492">
            <v>0</v>
          </cell>
          <cell r="K492">
            <v>0</v>
          </cell>
          <cell r="O492">
            <v>0</v>
          </cell>
          <cell r="P492">
            <v>0</v>
          </cell>
        </row>
        <row r="493">
          <cell r="G493">
            <v>0</v>
          </cell>
          <cell r="K493">
            <v>0</v>
          </cell>
          <cell r="O493">
            <v>0</v>
          </cell>
          <cell r="P493">
            <v>0</v>
          </cell>
        </row>
        <row r="494">
          <cell r="G494">
            <v>0</v>
          </cell>
          <cell r="K494">
            <v>0</v>
          </cell>
          <cell r="O494">
            <v>0</v>
          </cell>
          <cell r="P494">
            <v>0</v>
          </cell>
        </row>
        <row r="495">
          <cell r="G495">
            <v>0</v>
          </cell>
          <cell r="K495">
            <v>0</v>
          </cell>
          <cell r="O495">
            <v>0</v>
          </cell>
          <cell r="P495">
            <v>0</v>
          </cell>
        </row>
        <row r="496">
          <cell r="G496">
            <v>0</v>
          </cell>
          <cell r="K496">
            <v>0</v>
          </cell>
          <cell r="O496">
            <v>0</v>
          </cell>
          <cell r="P496">
            <v>0</v>
          </cell>
        </row>
        <row r="497">
          <cell r="G497">
            <v>0</v>
          </cell>
          <cell r="K497">
            <v>0</v>
          </cell>
          <cell r="O497">
            <v>0</v>
          </cell>
          <cell r="P497">
            <v>0</v>
          </cell>
        </row>
        <row r="498">
          <cell r="G498">
            <v>0</v>
          </cell>
          <cell r="K498">
            <v>0</v>
          </cell>
          <cell r="O498">
            <v>0</v>
          </cell>
          <cell r="P498">
            <v>0</v>
          </cell>
        </row>
        <row r="499">
          <cell r="G499">
            <v>0</v>
          </cell>
          <cell r="K499">
            <v>0</v>
          </cell>
          <cell r="O499">
            <v>0</v>
          </cell>
          <cell r="P499">
            <v>0</v>
          </cell>
        </row>
        <row r="500">
          <cell r="G500">
            <v>0</v>
          </cell>
          <cell r="K500">
            <v>0</v>
          </cell>
          <cell r="O500">
            <v>0</v>
          </cell>
          <cell r="P500">
            <v>0</v>
          </cell>
        </row>
        <row r="501">
          <cell r="G501">
            <v>0</v>
          </cell>
          <cell r="K501">
            <v>0</v>
          </cell>
          <cell r="O501">
            <v>0</v>
          </cell>
          <cell r="P501">
            <v>0</v>
          </cell>
        </row>
        <row r="502">
          <cell r="G502">
            <v>0</v>
          </cell>
          <cell r="K502">
            <v>0</v>
          </cell>
          <cell r="O502">
            <v>0</v>
          </cell>
          <cell r="P502">
            <v>0</v>
          </cell>
        </row>
        <row r="503">
          <cell r="G503">
            <v>0</v>
          </cell>
          <cell r="K503">
            <v>0</v>
          </cell>
          <cell r="O503">
            <v>0</v>
          </cell>
          <cell r="P503">
            <v>0</v>
          </cell>
        </row>
        <row r="504">
          <cell r="G504">
            <v>0</v>
          </cell>
          <cell r="K504">
            <v>0</v>
          </cell>
          <cell r="O504">
            <v>0</v>
          </cell>
          <cell r="P504">
            <v>0</v>
          </cell>
        </row>
        <row r="505">
          <cell r="G505">
            <v>0</v>
          </cell>
          <cell r="K505">
            <v>0</v>
          </cell>
          <cell r="O505">
            <v>0</v>
          </cell>
          <cell r="P505">
            <v>0</v>
          </cell>
        </row>
        <row r="506">
          <cell r="G506">
            <v>0</v>
          </cell>
          <cell r="K506">
            <v>0</v>
          </cell>
          <cell r="O506">
            <v>0</v>
          </cell>
          <cell r="P506">
            <v>0</v>
          </cell>
        </row>
        <row r="507">
          <cell r="G507">
            <v>0</v>
          </cell>
          <cell r="K507">
            <v>0</v>
          </cell>
          <cell r="O507">
            <v>0</v>
          </cell>
          <cell r="P507">
            <v>0</v>
          </cell>
        </row>
        <row r="508">
          <cell r="G508">
            <v>0</v>
          </cell>
          <cell r="K508">
            <v>0</v>
          </cell>
          <cell r="O508">
            <v>0</v>
          </cell>
          <cell r="P508">
            <v>0</v>
          </cell>
        </row>
        <row r="509">
          <cell r="G509">
            <v>0</v>
          </cell>
          <cell r="K509">
            <v>0</v>
          </cell>
          <cell r="O509">
            <v>0</v>
          </cell>
          <cell r="P509">
            <v>0</v>
          </cell>
        </row>
        <row r="510">
          <cell r="G510">
            <v>0</v>
          </cell>
          <cell r="K510">
            <v>0</v>
          </cell>
          <cell r="O510">
            <v>0</v>
          </cell>
          <cell r="P510">
            <v>0</v>
          </cell>
        </row>
        <row r="511">
          <cell r="G511">
            <v>0</v>
          </cell>
          <cell r="K511">
            <v>0</v>
          </cell>
          <cell r="O511">
            <v>0</v>
          </cell>
          <cell r="P511">
            <v>0</v>
          </cell>
        </row>
        <row r="512">
          <cell r="G512">
            <v>0</v>
          </cell>
          <cell r="K512">
            <v>0</v>
          </cell>
          <cell r="O512">
            <v>0</v>
          </cell>
          <cell r="P512">
            <v>0</v>
          </cell>
        </row>
        <row r="513">
          <cell r="G513">
            <v>0</v>
          </cell>
          <cell r="K513">
            <v>0</v>
          </cell>
          <cell r="O513">
            <v>0</v>
          </cell>
          <cell r="P513">
            <v>0</v>
          </cell>
        </row>
        <row r="514">
          <cell r="G514">
            <v>0</v>
          </cell>
          <cell r="K514">
            <v>0</v>
          </cell>
          <cell r="O514">
            <v>0</v>
          </cell>
          <cell r="P514">
            <v>0</v>
          </cell>
        </row>
        <row r="515">
          <cell r="G515">
            <v>0</v>
          </cell>
          <cell r="K515">
            <v>0</v>
          </cell>
          <cell r="O515">
            <v>0</v>
          </cell>
          <cell r="P515">
            <v>0</v>
          </cell>
        </row>
        <row r="516">
          <cell r="G516">
            <v>0</v>
          </cell>
          <cell r="K516">
            <v>0</v>
          </cell>
          <cell r="O516">
            <v>0</v>
          </cell>
          <cell r="P516">
            <v>0</v>
          </cell>
        </row>
        <row r="517">
          <cell r="G517">
            <v>0</v>
          </cell>
          <cell r="K517">
            <v>0</v>
          </cell>
          <cell r="O517">
            <v>0</v>
          </cell>
          <cell r="P517">
            <v>0</v>
          </cell>
        </row>
        <row r="518">
          <cell r="G518">
            <v>0</v>
          </cell>
          <cell r="K518">
            <v>0</v>
          </cell>
          <cell r="O518">
            <v>0</v>
          </cell>
          <cell r="P518">
            <v>0</v>
          </cell>
        </row>
        <row r="519">
          <cell r="G519">
            <v>0</v>
          </cell>
          <cell r="K519">
            <v>0</v>
          </cell>
          <cell r="O519">
            <v>0</v>
          </cell>
          <cell r="P519">
            <v>0</v>
          </cell>
        </row>
        <row r="520">
          <cell r="G520">
            <v>0</v>
          </cell>
          <cell r="K520">
            <v>0</v>
          </cell>
          <cell r="O520">
            <v>0</v>
          </cell>
          <cell r="P520">
            <v>0</v>
          </cell>
        </row>
        <row r="521">
          <cell r="G521">
            <v>0</v>
          </cell>
          <cell r="K521">
            <v>0</v>
          </cell>
          <cell r="O521">
            <v>0</v>
          </cell>
          <cell r="P521">
            <v>0</v>
          </cell>
        </row>
        <row r="522">
          <cell r="G522">
            <v>0</v>
          </cell>
          <cell r="K522">
            <v>0</v>
          </cell>
          <cell r="O522">
            <v>0</v>
          </cell>
          <cell r="P522">
            <v>0</v>
          </cell>
        </row>
        <row r="523">
          <cell r="G523">
            <v>0</v>
          </cell>
          <cell r="K523">
            <v>0</v>
          </cell>
          <cell r="O523">
            <v>0</v>
          </cell>
          <cell r="P523">
            <v>0</v>
          </cell>
        </row>
        <row r="524">
          <cell r="G524">
            <v>0</v>
          </cell>
          <cell r="K524">
            <v>0</v>
          </cell>
          <cell r="O524">
            <v>0</v>
          </cell>
          <cell r="P524">
            <v>0</v>
          </cell>
        </row>
        <row r="525">
          <cell r="G525">
            <v>0</v>
          </cell>
          <cell r="K525">
            <v>0</v>
          </cell>
          <cell r="O525">
            <v>0</v>
          </cell>
          <cell r="P525">
            <v>0</v>
          </cell>
        </row>
        <row r="526">
          <cell r="G526">
            <v>0</v>
          </cell>
          <cell r="K526">
            <v>0</v>
          </cell>
          <cell r="O526">
            <v>0</v>
          </cell>
          <cell r="P526">
            <v>0</v>
          </cell>
        </row>
        <row r="527">
          <cell r="G527">
            <v>0</v>
          </cell>
          <cell r="K527">
            <v>0</v>
          </cell>
          <cell r="O527">
            <v>0</v>
          </cell>
          <cell r="P527">
            <v>0</v>
          </cell>
        </row>
        <row r="528">
          <cell r="G528">
            <v>0</v>
          </cell>
          <cell r="K528">
            <v>0</v>
          </cell>
          <cell r="O528">
            <v>0</v>
          </cell>
          <cell r="P528">
            <v>0</v>
          </cell>
        </row>
        <row r="529">
          <cell r="G529">
            <v>0</v>
          </cell>
          <cell r="K529">
            <v>0</v>
          </cell>
          <cell r="O529">
            <v>0</v>
          </cell>
          <cell r="P529">
            <v>0</v>
          </cell>
        </row>
        <row r="530">
          <cell r="G530">
            <v>0</v>
          </cell>
          <cell r="K530">
            <v>0</v>
          </cell>
          <cell r="O530">
            <v>0</v>
          </cell>
          <cell r="P530">
            <v>0</v>
          </cell>
        </row>
        <row r="531">
          <cell r="G531">
            <v>0</v>
          </cell>
          <cell r="K531">
            <v>0</v>
          </cell>
          <cell r="O531">
            <v>0</v>
          </cell>
          <cell r="P531">
            <v>0</v>
          </cell>
        </row>
        <row r="532">
          <cell r="G532">
            <v>0</v>
          </cell>
          <cell r="K532">
            <v>0</v>
          </cell>
          <cell r="O532">
            <v>0</v>
          </cell>
          <cell r="P532">
            <v>0</v>
          </cell>
        </row>
        <row r="533">
          <cell r="G533">
            <v>0</v>
          </cell>
          <cell r="K533">
            <v>0</v>
          </cell>
          <cell r="O533">
            <v>0</v>
          </cell>
          <cell r="P533">
            <v>0</v>
          </cell>
        </row>
        <row r="534">
          <cell r="G534">
            <v>0</v>
          </cell>
          <cell r="K534">
            <v>0</v>
          </cell>
          <cell r="O534">
            <v>0</v>
          </cell>
          <cell r="P534">
            <v>0</v>
          </cell>
        </row>
        <row r="535">
          <cell r="G535">
            <v>0</v>
          </cell>
          <cell r="K535">
            <v>0</v>
          </cell>
          <cell r="O535">
            <v>0</v>
          </cell>
          <cell r="P535">
            <v>0</v>
          </cell>
        </row>
        <row r="536">
          <cell r="G536">
            <v>0</v>
          </cell>
          <cell r="K536">
            <v>0</v>
          </cell>
          <cell r="O536">
            <v>0</v>
          </cell>
          <cell r="P536">
            <v>0</v>
          </cell>
        </row>
        <row r="537">
          <cell r="G537">
            <v>0</v>
          </cell>
          <cell r="K537">
            <v>0</v>
          </cell>
          <cell r="O537">
            <v>0</v>
          </cell>
          <cell r="P537">
            <v>0</v>
          </cell>
        </row>
        <row r="538">
          <cell r="G538">
            <v>0</v>
          </cell>
          <cell r="K538">
            <v>0</v>
          </cell>
          <cell r="O538">
            <v>0</v>
          </cell>
          <cell r="P538">
            <v>0</v>
          </cell>
        </row>
        <row r="539">
          <cell r="G539">
            <v>0</v>
          </cell>
          <cell r="K539">
            <v>0</v>
          </cell>
          <cell r="O539">
            <v>0</v>
          </cell>
          <cell r="P539">
            <v>0</v>
          </cell>
        </row>
        <row r="540">
          <cell r="G540">
            <v>0</v>
          </cell>
          <cell r="K540">
            <v>0</v>
          </cell>
          <cell r="O540">
            <v>0</v>
          </cell>
          <cell r="P540">
            <v>0</v>
          </cell>
        </row>
        <row r="541">
          <cell r="G541">
            <v>0</v>
          </cell>
          <cell r="K541">
            <v>0</v>
          </cell>
          <cell r="O541">
            <v>0</v>
          </cell>
          <cell r="P541">
            <v>0</v>
          </cell>
        </row>
        <row r="542">
          <cell r="G542">
            <v>0</v>
          </cell>
          <cell r="K542">
            <v>0</v>
          </cell>
          <cell r="O542">
            <v>0</v>
          </cell>
          <cell r="P542">
            <v>0</v>
          </cell>
        </row>
        <row r="543">
          <cell r="G543">
            <v>0</v>
          </cell>
          <cell r="K543">
            <v>0</v>
          </cell>
          <cell r="O543">
            <v>0</v>
          </cell>
          <cell r="P543">
            <v>0</v>
          </cell>
        </row>
        <row r="544">
          <cell r="G544">
            <v>0</v>
          </cell>
          <cell r="K544">
            <v>0</v>
          </cell>
          <cell r="O544">
            <v>0</v>
          </cell>
          <cell r="P544">
            <v>0</v>
          </cell>
        </row>
        <row r="545">
          <cell r="G545">
            <v>0</v>
          </cell>
          <cell r="K545">
            <v>0</v>
          </cell>
          <cell r="O545">
            <v>0</v>
          </cell>
          <cell r="P545">
            <v>0</v>
          </cell>
        </row>
        <row r="546">
          <cell r="G546">
            <v>0</v>
          </cell>
          <cell r="K546">
            <v>0</v>
          </cell>
          <cell r="O546">
            <v>0</v>
          </cell>
          <cell r="P546">
            <v>0</v>
          </cell>
        </row>
        <row r="547">
          <cell r="G547">
            <v>0</v>
          </cell>
          <cell r="K547">
            <v>0</v>
          </cell>
          <cell r="O547">
            <v>0</v>
          </cell>
          <cell r="P547">
            <v>0</v>
          </cell>
        </row>
        <row r="548">
          <cell r="G548">
            <v>0</v>
          </cell>
          <cell r="K548">
            <v>0</v>
          </cell>
          <cell r="O548">
            <v>0</v>
          </cell>
          <cell r="P548">
            <v>0</v>
          </cell>
        </row>
        <row r="549">
          <cell r="G549">
            <v>0</v>
          </cell>
          <cell r="K549">
            <v>0</v>
          </cell>
          <cell r="O549">
            <v>0</v>
          </cell>
          <cell r="P549">
            <v>0</v>
          </cell>
        </row>
        <row r="550">
          <cell r="G550">
            <v>0</v>
          </cell>
          <cell r="K550">
            <v>0</v>
          </cell>
          <cell r="O550">
            <v>0</v>
          </cell>
          <cell r="P550">
            <v>0</v>
          </cell>
        </row>
        <row r="551">
          <cell r="G551">
            <v>0</v>
          </cell>
          <cell r="K551">
            <v>0</v>
          </cell>
          <cell r="O551">
            <v>0</v>
          </cell>
          <cell r="P551">
            <v>0</v>
          </cell>
        </row>
        <row r="552">
          <cell r="G552">
            <v>0</v>
          </cell>
          <cell r="K552">
            <v>0</v>
          </cell>
          <cell r="O552">
            <v>0</v>
          </cell>
          <cell r="P552">
            <v>0</v>
          </cell>
        </row>
        <row r="553">
          <cell r="G553">
            <v>0</v>
          </cell>
          <cell r="K553">
            <v>0</v>
          </cell>
          <cell r="O553">
            <v>0</v>
          </cell>
          <cell r="P553">
            <v>0</v>
          </cell>
        </row>
        <row r="554">
          <cell r="G554">
            <v>0</v>
          </cell>
          <cell r="K554">
            <v>0</v>
          </cell>
          <cell r="O554">
            <v>0</v>
          </cell>
          <cell r="P554">
            <v>0</v>
          </cell>
        </row>
        <row r="555">
          <cell r="G555">
            <v>0</v>
          </cell>
          <cell r="K555">
            <v>0</v>
          </cell>
          <cell r="O555">
            <v>0</v>
          </cell>
          <cell r="P555">
            <v>0</v>
          </cell>
        </row>
        <row r="556">
          <cell r="G556">
            <v>0</v>
          </cell>
          <cell r="K556">
            <v>0</v>
          </cell>
          <cell r="O556">
            <v>0</v>
          </cell>
          <cell r="P556">
            <v>0</v>
          </cell>
        </row>
        <row r="557">
          <cell r="G557">
            <v>0</v>
          </cell>
          <cell r="K557">
            <v>0</v>
          </cell>
          <cell r="O557">
            <v>0</v>
          </cell>
          <cell r="P557">
            <v>0</v>
          </cell>
        </row>
        <row r="558">
          <cell r="G558">
            <v>0</v>
          </cell>
          <cell r="K558">
            <v>0</v>
          </cell>
          <cell r="O558">
            <v>0</v>
          </cell>
          <cell r="P558">
            <v>0</v>
          </cell>
        </row>
        <row r="559">
          <cell r="G559">
            <v>0</v>
          </cell>
          <cell r="K559">
            <v>0</v>
          </cell>
          <cell r="O559">
            <v>0</v>
          </cell>
          <cell r="P559">
            <v>0</v>
          </cell>
        </row>
        <row r="560">
          <cell r="G560">
            <v>0</v>
          </cell>
          <cell r="K560">
            <v>0</v>
          </cell>
          <cell r="O560">
            <v>0</v>
          </cell>
          <cell r="P560">
            <v>0</v>
          </cell>
        </row>
        <row r="561">
          <cell r="G561">
            <v>0</v>
          </cell>
          <cell r="K561">
            <v>0</v>
          </cell>
          <cell r="O561">
            <v>0</v>
          </cell>
          <cell r="P561">
            <v>0</v>
          </cell>
        </row>
        <row r="562">
          <cell r="G562">
            <v>0</v>
          </cell>
          <cell r="K562">
            <v>0</v>
          </cell>
          <cell r="O562">
            <v>0</v>
          </cell>
          <cell r="P562">
            <v>0</v>
          </cell>
        </row>
        <row r="563">
          <cell r="G563">
            <v>0</v>
          </cell>
          <cell r="K563">
            <v>0</v>
          </cell>
          <cell r="O563">
            <v>0</v>
          </cell>
          <cell r="P563">
            <v>0</v>
          </cell>
        </row>
        <row r="564">
          <cell r="G564">
            <v>0</v>
          </cell>
          <cell r="K564">
            <v>0</v>
          </cell>
          <cell r="O564">
            <v>0</v>
          </cell>
          <cell r="P564">
            <v>0</v>
          </cell>
        </row>
        <row r="565">
          <cell r="G565">
            <v>0</v>
          </cell>
          <cell r="K565">
            <v>0</v>
          </cell>
          <cell r="O565">
            <v>0</v>
          </cell>
          <cell r="P565">
            <v>0</v>
          </cell>
        </row>
        <row r="566">
          <cell r="G566">
            <v>0</v>
          </cell>
          <cell r="K566">
            <v>0</v>
          </cell>
          <cell r="O566">
            <v>0</v>
          </cell>
          <cell r="P566">
            <v>0</v>
          </cell>
        </row>
        <row r="567">
          <cell r="G567">
            <v>0</v>
          </cell>
          <cell r="K567">
            <v>0</v>
          </cell>
          <cell r="O567">
            <v>0</v>
          </cell>
          <cell r="P567">
            <v>0</v>
          </cell>
        </row>
        <row r="568">
          <cell r="G568">
            <v>0</v>
          </cell>
          <cell r="K568">
            <v>0</v>
          </cell>
          <cell r="O568">
            <v>0</v>
          </cell>
          <cell r="P568">
            <v>0</v>
          </cell>
        </row>
        <row r="569">
          <cell r="G569">
            <v>0</v>
          </cell>
          <cell r="K569">
            <v>0</v>
          </cell>
          <cell r="O569">
            <v>0</v>
          </cell>
          <cell r="P569">
            <v>0</v>
          </cell>
        </row>
        <row r="570">
          <cell r="G570">
            <v>0</v>
          </cell>
          <cell r="K570">
            <v>0</v>
          </cell>
          <cell r="O570">
            <v>0</v>
          </cell>
          <cell r="P570">
            <v>0</v>
          </cell>
        </row>
        <row r="571">
          <cell r="G571">
            <v>0</v>
          </cell>
          <cell r="K571">
            <v>0</v>
          </cell>
          <cell r="O571">
            <v>0</v>
          </cell>
          <cell r="P571">
            <v>0</v>
          </cell>
        </row>
        <row r="572">
          <cell r="G572">
            <v>0</v>
          </cell>
          <cell r="K572">
            <v>0</v>
          </cell>
          <cell r="O572">
            <v>0</v>
          </cell>
          <cell r="P572">
            <v>0</v>
          </cell>
        </row>
        <row r="573">
          <cell r="G573">
            <v>0</v>
          </cell>
          <cell r="K573">
            <v>0</v>
          </cell>
          <cell r="O573">
            <v>0</v>
          </cell>
          <cell r="P573">
            <v>0</v>
          </cell>
        </row>
        <row r="574">
          <cell r="G574">
            <v>0</v>
          </cell>
          <cell r="K574">
            <v>0</v>
          </cell>
          <cell r="O574">
            <v>0</v>
          </cell>
          <cell r="P574">
            <v>0</v>
          </cell>
        </row>
        <row r="575">
          <cell r="G575">
            <v>0</v>
          </cell>
          <cell r="K575">
            <v>0</v>
          </cell>
          <cell r="O575">
            <v>0</v>
          </cell>
          <cell r="P575">
            <v>0</v>
          </cell>
        </row>
        <row r="576">
          <cell r="G576">
            <v>0</v>
          </cell>
          <cell r="K576">
            <v>0</v>
          </cell>
          <cell r="O576">
            <v>0</v>
          </cell>
          <cell r="P576">
            <v>0</v>
          </cell>
        </row>
        <row r="577">
          <cell r="G577">
            <v>0</v>
          </cell>
          <cell r="K577">
            <v>0</v>
          </cell>
          <cell r="O577">
            <v>0</v>
          </cell>
          <cell r="P577">
            <v>0</v>
          </cell>
        </row>
        <row r="578">
          <cell r="G578">
            <v>0</v>
          </cell>
          <cell r="K578">
            <v>0</v>
          </cell>
          <cell r="O578">
            <v>0</v>
          </cell>
          <cell r="P578">
            <v>0</v>
          </cell>
        </row>
        <row r="579">
          <cell r="G579">
            <v>0</v>
          </cell>
          <cell r="K579">
            <v>0</v>
          </cell>
          <cell r="O579">
            <v>0</v>
          </cell>
          <cell r="P579">
            <v>0</v>
          </cell>
        </row>
        <row r="580">
          <cell r="G580">
            <v>0</v>
          </cell>
          <cell r="K580">
            <v>0</v>
          </cell>
          <cell r="O580">
            <v>0</v>
          </cell>
          <cell r="P580">
            <v>0</v>
          </cell>
        </row>
        <row r="581">
          <cell r="G581">
            <v>0</v>
          </cell>
          <cell r="K581">
            <v>0</v>
          </cell>
          <cell r="O581">
            <v>0</v>
          </cell>
          <cell r="P581">
            <v>0</v>
          </cell>
        </row>
        <row r="582">
          <cell r="G582">
            <v>0</v>
          </cell>
          <cell r="K582">
            <v>0</v>
          </cell>
          <cell r="O582">
            <v>0</v>
          </cell>
          <cell r="P582">
            <v>0</v>
          </cell>
        </row>
        <row r="583">
          <cell r="G583">
            <v>0</v>
          </cell>
          <cell r="K583">
            <v>0</v>
          </cell>
          <cell r="O583">
            <v>0</v>
          </cell>
          <cell r="P583">
            <v>0</v>
          </cell>
        </row>
        <row r="584">
          <cell r="G584">
            <v>0</v>
          </cell>
          <cell r="K584">
            <v>0</v>
          </cell>
          <cell r="O584">
            <v>0</v>
          </cell>
          <cell r="P584">
            <v>0</v>
          </cell>
        </row>
        <row r="585">
          <cell r="G585">
            <v>0</v>
          </cell>
          <cell r="K585">
            <v>0</v>
          </cell>
          <cell r="O585">
            <v>0</v>
          </cell>
          <cell r="P585">
            <v>0</v>
          </cell>
        </row>
        <row r="586">
          <cell r="G586">
            <v>0</v>
          </cell>
          <cell r="K586">
            <v>0</v>
          </cell>
          <cell r="O586">
            <v>0</v>
          </cell>
          <cell r="P586">
            <v>0</v>
          </cell>
        </row>
        <row r="587">
          <cell r="G587">
            <v>0</v>
          </cell>
          <cell r="K587">
            <v>0</v>
          </cell>
          <cell r="O587">
            <v>0</v>
          </cell>
          <cell r="P587">
            <v>0</v>
          </cell>
        </row>
        <row r="588">
          <cell r="G588">
            <v>0</v>
          </cell>
          <cell r="K588">
            <v>0</v>
          </cell>
          <cell r="O588">
            <v>0</v>
          </cell>
          <cell r="P588">
            <v>0</v>
          </cell>
        </row>
        <row r="589">
          <cell r="G589">
            <v>0</v>
          </cell>
          <cell r="K589">
            <v>0</v>
          </cell>
          <cell r="O589">
            <v>0</v>
          </cell>
          <cell r="P589">
            <v>0</v>
          </cell>
        </row>
        <row r="590">
          <cell r="G590">
            <v>0</v>
          </cell>
          <cell r="K590">
            <v>0</v>
          </cell>
          <cell r="O590">
            <v>0</v>
          </cell>
          <cell r="P590">
            <v>0</v>
          </cell>
        </row>
        <row r="591">
          <cell r="G591">
            <v>0</v>
          </cell>
          <cell r="K591">
            <v>0</v>
          </cell>
          <cell r="O591">
            <v>0</v>
          </cell>
          <cell r="P591">
            <v>0</v>
          </cell>
        </row>
        <row r="592">
          <cell r="G592">
            <v>0</v>
          </cell>
          <cell r="K592">
            <v>0</v>
          </cell>
          <cell r="O592">
            <v>0</v>
          </cell>
          <cell r="P592">
            <v>0</v>
          </cell>
        </row>
        <row r="593">
          <cell r="G593">
            <v>0</v>
          </cell>
          <cell r="K593">
            <v>0</v>
          </cell>
          <cell r="O593">
            <v>0</v>
          </cell>
          <cell r="P593">
            <v>0</v>
          </cell>
        </row>
        <row r="594">
          <cell r="G594">
            <v>0</v>
          </cell>
          <cell r="K594">
            <v>0</v>
          </cell>
          <cell r="O594">
            <v>0</v>
          </cell>
          <cell r="P594">
            <v>0</v>
          </cell>
        </row>
        <row r="595">
          <cell r="G595">
            <v>0</v>
          </cell>
          <cell r="K595">
            <v>0</v>
          </cell>
          <cell r="O595">
            <v>0</v>
          </cell>
          <cell r="P595">
            <v>0</v>
          </cell>
        </row>
        <row r="596">
          <cell r="G596">
            <v>0</v>
          </cell>
          <cell r="K596">
            <v>0</v>
          </cell>
          <cell r="O596">
            <v>0</v>
          </cell>
          <cell r="P596">
            <v>0</v>
          </cell>
        </row>
        <row r="597">
          <cell r="G597">
            <v>0</v>
          </cell>
          <cell r="K597">
            <v>0</v>
          </cell>
          <cell r="O597">
            <v>0</v>
          </cell>
          <cell r="P597">
            <v>0</v>
          </cell>
        </row>
        <row r="598">
          <cell r="G598">
            <v>0</v>
          </cell>
          <cell r="K598">
            <v>0</v>
          </cell>
          <cell r="O598">
            <v>0</v>
          </cell>
          <cell r="P598">
            <v>0</v>
          </cell>
        </row>
        <row r="599">
          <cell r="G599">
            <v>0</v>
          </cell>
          <cell r="K599">
            <v>0</v>
          </cell>
          <cell r="O599">
            <v>0</v>
          </cell>
          <cell r="P599">
            <v>0</v>
          </cell>
        </row>
        <row r="600">
          <cell r="G600">
            <v>0</v>
          </cell>
          <cell r="K600">
            <v>0</v>
          </cell>
          <cell r="O600">
            <v>0</v>
          </cell>
          <cell r="P600">
            <v>0</v>
          </cell>
        </row>
        <row r="601">
          <cell r="G601">
            <v>0</v>
          </cell>
          <cell r="K601">
            <v>0</v>
          </cell>
          <cell r="O601">
            <v>0</v>
          </cell>
          <cell r="P601">
            <v>0</v>
          </cell>
        </row>
        <row r="602">
          <cell r="G602">
            <v>0</v>
          </cell>
          <cell r="K602">
            <v>0</v>
          </cell>
          <cell r="O602">
            <v>0</v>
          </cell>
          <cell r="P602">
            <v>0</v>
          </cell>
        </row>
        <row r="603">
          <cell r="G603">
            <v>0</v>
          </cell>
          <cell r="K603">
            <v>0</v>
          </cell>
          <cell r="O603">
            <v>0</v>
          </cell>
          <cell r="P603">
            <v>0</v>
          </cell>
        </row>
        <row r="604">
          <cell r="G604">
            <v>0</v>
          </cell>
          <cell r="K604">
            <v>0</v>
          </cell>
          <cell r="O604">
            <v>0</v>
          </cell>
          <cell r="P604">
            <v>0</v>
          </cell>
        </row>
        <row r="605">
          <cell r="G605">
            <v>0</v>
          </cell>
          <cell r="K605">
            <v>0</v>
          </cell>
          <cell r="O605">
            <v>0</v>
          </cell>
          <cell r="P605">
            <v>0</v>
          </cell>
        </row>
        <row r="606">
          <cell r="G606">
            <v>0</v>
          </cell>
          <cell r="K606">
            <v>0</v>
          </cell>
          <cell r="O606">
            <v>0</v>
          </cell>
          <cell r="P606">
            <v>0</v>
          </cell>
        </row>
        <row r="607">
          <cell r="G607">
            <v>0</v>
          </cell>
          <cell r="K607">
            <v>0</v>
          </cell>
          <cell r="O607">
            <v>0</v>
          </cell>
          <cell r="P607">
            <v>0</v>
          </cell>
        </row>
        <row r="608">
          <cell r="G608">
            <v>0</v>
          </cell>
          <cell r="K608">
            <v>0</v>
          </cell>
          <cell r="O608">
            <v>0</v>
          </cell>
          <cell r="P608">
            <v>0</v>
          </cell>
        </row>
        <row r="609">
          <cell r="G609">
            <v>0</v>
          </cell>
          <cell r="K609">
            <v>0</v>
          </cell>
          <cell r="O609">
            <v>0</v>
          </cell>
          <cell r="P609">
            <v>0</v>
          </cell>
        </row>
        <row r="610">
          <cell r="G610">
            <v>0</v>
          </cell>
          <cell r="K610">
            <v>0</v>
          </cell>
          <cell r="O610">
            <v>0</v>
          </cell>
          <cell r="P610">
            <v>0</v>
          </cell>
        </row>
        <row r="611">
          <cell r="G611">
            <v>0</v>
          </cell>
          <cell r="K611">
            <v>0</v>
          </cell>
          <cell r="O611">
            <v>0</v>
          </cell>
          <cell r="P611">
            <v>0</v>
          </cell>
        </row>
        <row r="612">
          <cell r="G612">
            <v>0</v>
          </cell>
          <cell r="K612">
            <v>0</v>
          </cell>
          <cell r="O612">
            <v>0</v>
          </cell>
          <cell r="P612">
            <v>0</v>
          </cell>
        </row>
        <row r="613">
          <cell r="G613">
            <v>0</v>
          </cell>
          <cell r="K613">
            <v>0</v>
          </cell>
          <cell r="O613">
            <v>0</v>
          </cell>
          <cell r="P613">
            <v>0</v>
          </cell>
        </row>
        <row r="614">
          <cell r="G614">
            <v>0</v>
          </cell>
          <cell r="K614">
            <v>0</v>
          </cell>
          <cell r="O614">
            <v>0</v>
          </cell>
          <cell r="P614">
            <v>0</v>
          </cell>
        </row>
        <row r="615">
          <cell r="G615">
            <v>0</v>
          </cell>
          <cell r="K615">
            <v>0</v>
          </cell>
          <cell r="O615">
            <v>0</v>
          </cell>
          <cell r="P615">
            <v>0</v>
          </cell>
        </row>
        <row r="616">
          <cell r="G616">
            <v>0</v>
          </cell>
          <cell r="K616">
            <v>0</v>
          </cell>
          <cell r="O616">
            <v>0</v>
          </cell>
          <cell r="P616">
            <v>0</v>
          </cell>
        </row>
        <row r="617">
          <cell r="G617">
            <v>0</v>
          </cell>
          <cell r="K617">
            <v>0</v>
          </cell>
          <cell r="O617">
            <v>0</v>
          </cell>
          <cell r="P617">
            <v>0</v>
          </cell>
        </row>
        <row r="618">
          <cell r="G618">
            <v>0</v>
          </cell>
          <cell r="K618">
            <v>0</v>
          </cell>
          <cell r="O618">
            <v>0</v>
          </cell>
          <cell r="P618">
            <v>0</v>
          </cell>
        </row>
        <row r="619">
          <cell r="G619">
            <v>0</v>
          </cell>
          <cell r="K619">
            <v>0</v>
          </cell>
          <cell r="O619">
            <v>0</v>
          </cell>
          <cell r="P619">
            <v>0</v>
          </cell>
        </row>
        <row r="620">
          <cell r="G620">
            <v>0</v>
          </cell>
          <cell r="K620">
            <v>0</v>
          </cell>
          <cell r="O620">
            <v>0</v>
          </cell>
          <cell r="P620">
            <v>0</v>
          </cell>
        </row>
        <row r="621">
          <cell r="G621">
            <v>0</v>
          </cell>
          <cell r="K621">
            <v>0</v>
          </cell>
          <cell r="O621">
            <v>0</v>
          </cell>
          <cell r="P621">
            <v>0</v>
          </cell>
        </row>
        <row r="622">
          <cell r="G622">
            <v>0</v>
          </cell>
          <cell r="K622">
            <v>0</v>
          </cell>
          <cell r="O622">
            <v>0</v>
          </cell>
          <cell r="P622">
            <v>0</v>
          </cell>
        </row>
        <row r="623">
          <cell r="G623">
            <v>0</v>
          </cell>
          <cell r="K623">
            <v>0</v>
          </cell>
          <cell r="O623">
            <v>0</v>
          </cell>
          <cell r="P623">
            <v>0</v>
          </cell>
        </row>
        <row r="624">
          <cell r="G624">
            <v>0</v>
          </cell>
          <cell r="K624">
            <v>0</v>
          </cell>
          <cell r="O624">
            <v>0</v>
          </cell>
          <cell r="P624">
            <v>0</v>
          </cell>
        </row>
        <row r="625">
          <cell r="G625">
            <v>0</v>
          </cell>
          <cell r="K625">
            <v>0</v>
          </cell>
          <cell r="O625">
            <v>0</v>
          </cell>
          <cell r="P625">
            <v>0</v>
          </cell>
        </row>
        <row r="626">
          <cell r="G626">
            <v>0</v>
          </cell>
          <cell r="K626">
            <v>0</v>
          </cell>
          <cell r="O626">
            <v>0</v>
          </cell>
          <cell r="P626">
            <v>0</v>
          </cell>
        </row>
        <row r="627">
          <cell r="G627">
            <v>0</v>
          </cell>
          <cell r="K627">
            <v>0</v>
          </cell>
          <cell r="O627">
            <v>0</v>
          </cell>
          <cell r="P627">
            <v>0</v>
          </cell>
        </row>
        <row r="628">
          <cell r="G628">
            <v>0</v>
          </cell>
          <cell r="K628">
            <v>0</v>
          </cell>
          <cell r="O628">
            <v>0</v>
          </cell>
          <cell r="P628">
            <v>0</v>
          </cell>
        </row>
        <row r="629">
          <cell r="G629">
            <v>0</v>
          </cell>
          <cell r="K629">
            <v>0</v>
          </cell>
          <cell r="O629">
            <v>0</v>
          </cell>
          <cell r="P629">
            <v>0</v>
          </cell>
        </row>
        <row r="630">
          <cell r="G630">
            <v>0</v>
          </cell>
          <cell r="K630">
            <v>0</v>
          </cell>
          <cell r="O630">
            <v>0</v>
          </cell>
          <cell r="P630">
            <v>0</v>
          </cell>
        </row>
        <row r="631">
          <cell r="G631">
            <v>0</v>
          </cell>
          <cell r="K631">
            <v>0</v>
          </cell>
          <cell r="O631">
            <v>0</v>
          </cell>
          <cell r="P631">
            <v>0</v>
          </cell>
        </row>
        <row r="632">
          <cell r="G632">
            <v>0</v>
          </cell>
          <cell r="K632">
            <v>0</v>
          </cell>
          <cell r="O632">
            <v>0</v>
          </cell>
          <cell r="P632">
            <v>0</v>
          </cell>
        </row>
        <row r="633">
          <cell r="G633">
            <v>0</v>
          </cell>
          <cell r="K633">
            <v>0</v>
          </cell>
          <cell r="O633">
            <v>0</v>
          </cell>
          <cell r="P633">
            <v>0</v>
          </cell>
        </row>
        <row r="634">
          <cell r="G634">
            <v>0</v>
          </cell>
          <cell r="K634">
            <v>0</v>
          </cell>
          <cell r="O634">
            <v>0</v>
          </cell>
          <cell r="P634">
            <v>0</v>
          </cell>
        </row>
        <row r="635">
          <cell r="G635">
            <v>0</v>
          </cell>
          <cell r="K635">
            <v>0</v>
          </cell>
          <cell r="O635">
            <v>0</v>
          </cell>
          <cell r="P635">
            <v>0</v>
          </cell>
        </row>
        <row r="636">
          <cell r="G636">
            <v>0</v>
          </cell>
          <cell r="K636">
            <v>0</v>
          </cell>
          <cell r="O636">
            <v>0</v>
          </cell>
          <cell r="P636">
            <v>0</v>
          </cell>
        </row>
        <row r="637">
          <cell r="G637">
            <v>0</v>
          </cell>
          <cell r="K637">
            <v>0</v>
          </cell>
          <cell r="O637">
            <v>0</v>
          </cell>
          <cell r="P637">
            <v>0</v>
          </cell>
        </row>
        <row r="638">
          <cell r="G638">
            <v>0</v>
          </cell>
          <cell r="K638">
            <v>0</v>
          </cell>
          <cell r="O638">
            <v>0</v>
          </cell>
          <cell r="P638">
            <v>0</v>
          </cell>
        </row>
        <row r="639">
          <cell r="G639">
            <v>0</v>
          </cell>
          <cell r="K639">
            <v>0</v>
          </cell>
          <cell r="O639">
            <v>0</v>
          </cell>
          <cell r="P639">
            <v>0</v>
          </cell>
        </row>
        <row r="640">
          <cell r="G640">
            <v>0</v>
          </cell>
          <cell r="K640">
            <v>0</v>
          </cell>
          <cell r="O640">
            <v>0</v>
          </cell>
          <cell r="P640">
            <v>0</v>
          </cell>
        </row>
        <row r="641">
          <cell r="G641">
            <v>0</v>
          </cell>
          <cell r="K641">
            <v>0</v>
          </cell>
          <cell r="O641">
            <v>0</v>
          </cell>
          <cell r="P641">
            <v>0</v>
          </cell>
        </row>
        <row r="642">
          <cell r="G642">
            <v>0</v>
          </cell>
          <cell r="K642">
            <v>0</v>
          </cell>
          <cell r="O642">
            <v>0</v>
          </cell>
          <cell r="P642">
            <v>0</v>
          </cell>
        </row>
        <row r="643">
          <cell r="G643">
            <v>0</v>
          </cell>
          <cell r="K643">
            <v>0</v>
          </cell>
          <cell r="O643">
            <v>0</v>
          </cell>
          <cell r="P643">
            <v>0</v>
          </cell>
        </row>
        <row r="644">
          <cell r="G644">
            <v>0</v>
          </cell>
          <cell r="K644">
            <v>0</v>
          </cell>
          <cell r="O644">
            <v>0</v>
          </cell>
          <cell r="P644">
            <v>0</v>
          </cell>
        </row>
        <row r="645">
          <cell r="G645">
            <v>0</v>
          </cell>
          <cell r="K645">
            <v>0</v>
          </cell>
          <cell r="O645">
            <v>0</v>
          </cell>
          <cell r="P645">
            <v>0</v>
          </cell>
        </row>
        <row r="646">
          <cell r="G646">
            <v>0</v>
          </cell>
          <cell r="K646">
            <v>0</v>
          </cell>
          <cell r="O646">
            <v>0</v>
          </cell>
          <cell r="P646">
            <v>0</v>
          </cell>
        </row>
        <row r="647">
          <cell r="G647">
            <v>0</v>
          </cell>
          <cell r="K647">
            <v>0</v>
          </cell>
          <cell r="O647">
            <v>0</v>
          </cell>
          <cell r="P647">
            <v>0</v>
          </cell>
        </row>
        <row r="648">
          <cell r="G648">
            <v>0</v>
          </cell>
          <cell r="K648">
            <v>0</v>
          </cell>
          <cell r="O648">
            <v>0</v>
          </cell>
          <cell r="P648">
            <v>0</v>
          </cell>
        </row>
        <row r="649">
          <cell r="G649">
            <v>0</v>
          </cell>
          <cell r="K649">
            <v>0</v>
          </cell>
          <cell r="O649">
            <v>0</v>
          </cell>
          <cell r="P649">
            <v>0</v>
          </cell>
        </row>
        <row r="650">
          <cell r="G650">
            <v>0</v>
          </cell>
          <cell r="K650">
            <v>0</v>
          </cell>
          <cell r="O650">
            <v>0</v>
          </cell>
          <cell r="P650">
            <v>0</v>
          </cell>
        </row>
        <row r="651">
          <cell r="G651">
            <v>0</v>
          </cell>
          <cell r="K651">
            <v>0</v>
          </cell>
          <cell r="O651">
            <v>0</v>
          </cell>
          <cell r="P651">
            <v>0</v>
          </cell>
        </row>
        <row r="652">
          <cell r="G652">
            <v>0</v>
          </cell>
          <cell r="K652">
            <v>0</v>
          </cell>
          <cell r="O652">
            <v>0</v>
          </cell>
          <cell r="P652">
            <v>0</v>
          </cell>
        </row>
        <row r="653">
          <cell r="G653">
            <v>0</v>
          </cell>
          <cell r="K653">
            <v>0</v>
          </cell>
          <cell r="O653">
            <v>0</v>
          </cell>
          <cell r="P653">
            <v>0</v>
          </cell>
        </row>
        <row r="654">
          <cell r="G654">
            <v>0</v>
          </cell>
          <cell r="K654">
            <v>0</v>
          </cell>
          <cell r="O654">
            <v>0</v>
          </cell>
          <cell r="P654">
            <v>0</v>
          </cell>
        </row>
        <row r="655">
          <cell r="G655">
            <v>0</v>
          </cell>
          <cell r="K655">
            <v>0</v>
          </cell>
          <cell r="O655">
            <v>0</v>
          </cell>
          <cell r="P655">
            <v>0</v>
          </cell>
        </row>
        <row r="656">
          <cell r="G656">
            <v>0</v>
          </cell>
          <cell r="K656">
            <v>0</v>
          </cell>
          <cell r="O656">
            <v>0</v>
          </cell>
          <cell r="P656">
            <v>0</v>
          </cell>
        </row>
        <row r="657">
          <cell r="G657">
            <v>0</v>
          </cell>
          <cell r="K657">
            <v>0</v>
          </cell>
          <cell r="O657">
            <v>0</v>
          </cell>
          <cell r="P657">
            <v>0</v>
          </cell>
        </row>
        <row r="658">
          <cell r="G658">
            <v>0</v>
          </cell>
          <cell r="K658">
            <v>0</v>
          </cell>
          <cell r="O658">
            <v>0</v>
          </cell>
          <cell r="P658">
            <v>0</v>
          </cell>
        </row>
        <row r="659">
          <cell r="G659">
            <v>0</v>
          </cell>
          <cell r="K659">
            <v>0</v>
          </cell>
          <cell r="O659">
            <v>0</v>
          </cell>
          <cell r="P659">
            <v>0</v>
          </cell>
        </row>
        <row r="660">
          <cell r="G660">
            <v>0</v>
          </cell>
          <cell r="K660">
            <v>0</v>
          </cell>
          <cell r="O660">
            <v>0</v>
          </cell>
          <cell r="P660">
            <v>0</v>
          </cell>
        </row>
        <row r="661">
          <cell r="G661">
            <v>0</v>
          </cell>
          <cell r="K661">
            <v>0</v>
          </cell>
          <cell r="O661">
            <v>0</v>
          </cell>
          <cell r="P661">
            <v>0</v>
          </cell>
        </row>
        <row r="662">
          <cell r="G662">
            <v>0</v>
          </cell>
          <cell r="K662">
            <v>0</v>
          </cell>
          <cell r="O662">
            <v>0</v>
          </cell>
          <cell r="P662">
            <v>0</v>
          </cell>
        </row>
        <row r="663">
          <cell r="G663">
            <v>0</v>
          </cell>
          <cell r="K663">
            <v>0</v>
          </cell>
          <cell r="O663">
            <v>0</v>
          </cell>
          <cell r="P663">
            <v>0</v>
          </cell>
        </row>
        <row r="664">
          <cell r="G664">
            <v>0</v>
          </cell>
          <cell r="K664">
            <v>0</v>
          </cell>
          <cell r="O664">
            <v>0</v>
          </cell>
          <cell r="P664">
            <v>0</v>
          </cell>
        </row>
        <row r="665">
          <cell r="G665">
            <v>0</v>
          </cell>
          <cell r="K665">
            <v>0</v>
          </cell>
          <cell r="O665">
            <v>0</v>
          </cell>
          <cell r="P665">
            <v>0</v>
          </cell>
        </row>
        <row r="666">
          <cell r="G666">
            <v>0</v>
          </cell>
          <cell r="K666">
            <v>0</v>
          </cell>
          <cell r="O666">
            <v>0</v>
          </cell>
          <cell r="P666">
            <v>0</v>
          </cell>
        </row>
        <row r="667">
          <cell r="G667">
            <v>0</v>
          </cell>
          <cell r="K667">
            <v>0</v>
          </cell>
          <cell r="O667">
            <v>0</v>
          </cell>
          <cell r="P667">
            <v>0</v>
          </cell>
        </row>
        <row r="668">
          <cell r="G668">
            <v>0</v>
          </cell>
          <cell r="K668">
            <v>0</v>
          </cell>
          <cell r="O668">
            <v>0</v>
          </cell>
          <cell r="P668">
            <v>0</v>
          </cell>
        </row>
        <row r="669">
          <cell r="G669">
            <v>0</v>
          </cell>
          <cell r="K669">
            <v>0</v>
          </cell>
          <cell r="O669">
            <v>0</v>
          </cell>
          <cell r="P669">
            <v>0</v>
          </cell>
        </row>
        <row r="670">
          <cell r="G670">
            <v>0</v>
          </cell>
          <cell r="K670">
            <v>0</v>
          </cell>
          <cell r="O670">
            <v>0</v>
          </cell>
          <cell r="P670">
            <v>0</v>
          </cell>
        </row>
        <row r="671">
          <cell r="G671">
            <v>0</v>
          </cell>
          <cell r="K671">
            <v>0</v>
          </cell>
          <cell r="O671">
            <v>0</v>
          </cell>
          <cell r="P671">
            <v>0</v>
          </cell>
        </row>
        <row r="672">
          <cell r="G672">
            <v>0</v>
          </cell>
          <cell r="K672">
            <v>0</v>
          </cell>
          <cell r="O672">
            <v>0</v>
          </cell>
          <cell r="P672">
            <v>0</v>
          </cell>
        </row>
        <row r="673">
          <cell r="G673">
            <v>0</v>
          </cell>
          <cell r="K673">
            <v>0</v>
          </cell>
          <cell r="O673">
            <v>0</v>
          </cell>
          <cell r="P673">
            <v>0</v>
          </cell>
        </row>
        <row r="674">
          <cell r="G674">
            <v>0</v>
          </cell>
          <cell r="K674">
            <v>0</v>
          </cell>
          <cell r="O674">
            <v>0</v>
          </cell>
          <cell r="P674">
            <v>0</v>
          </cell>
        </row>
        <row r="675">
          <cell r="G675">
            <v>0</v>
          </cell>
          <cell r="K675">
            <v>0</v>
          </cell>
          <cell r="O675">
            <v>0</v>
          </cell>
          <cell r="P675">
            <v>0</v>
          </cell>
        </row>
        <row r="676">
          <cell r="G676">
            <v>0</v>
          </cell>
          <cell r="K676">
            <v>0</v>
          </cell>
          <cell r="O676">
            <v>0</v>
          </cell>
          <cell r="P676">
            <v>0</v>
          </cell>
        </row>
        <row r="677">
          <cell r="G677">
            <v>0</v>
          </cell>
          <cell r="K677">
            <v>0</v>
          </cell>
          <cell r="O677">
            <v>0</v>
          </cell>
          <cell r="P677">
            <v>0</v>
          </cell>
        </row>
        <row r="678">
          <cell r="G678">
            <v>0</v>
          </cell>
          <cell r="K678">
            <v>0</v>
          </cell>
          <cell r="O678">
            <v>0</v>
          </cell>
          <cell r="P678">
            <v>0</v>
          </cell>
        </row>
        <row r="679">
          <cell r="G679">
            <v>0</v>
          </cell>
          <cell r="K679">
            <v>0</v>
          </cell>
          <cell r="O679">
            <v>0</v>
          </cell>
          <cell r="P679">
            <v>0</v>
          </cell>
        </row>
        <row r="680">
          <cell r="G680">
            <v>0</v>
          </cell>
          <cell r="K680">
            <v>0</v>
          </cell>
          <cell r="O680">
            <v>0</v>
          </cell>
          <cell r="P680">
            <v>0</v>
          </cell>
        </row>
        <row r="681">
          <cell r="G681">
            <v>0</v>
          </cell>
          <cell r="K681">
            <v>0</v>
          </cell>
          <cell r="O681">
            <v>0</v>
          </cell>
          <cell r="P681">
            <v>0</v>
          </cell>
        </row>
        <row r="682">
          <cell r="G682">
            <v>0</v>
          </cell>
          <cell r="K682">
            <v>0</v>
          </cell>
          <cell r="O682">
            <v>0</v>
          </cell>
          <cell r="P682">
            <v>0</v>
          </cell>
        </row>
        <row r="683">
          <cell r="G683">
            <v>0</v>
          </cell>
          <cell r="K683">
            <v>0</v>
          </cell>
          <cell r="O683">
            <v>0</v>
          </cell>
          <cell r="P683">
            <v>0</v>
          </cell>
        </row>
        <row r="684">
          <cell r="G684">
            <v>0</v>
          </cell>
          <cell r="K684">
            <v>0</v>
          </cell>
          <cell r="O684">
            <v>0</v>
          </cell>
          <cell r="P684">
            <v>0</v>
          </cell>
        </row>
        <row r="685">
          <cell r="G685">
            <v>0</v>
          </cell>
          <cell r="K685">
            <v>0</v>
          </cell>
          <cell r="O685">
            <v>0</v>
          </cell>
          <cell r="P685">
            <v>0</v>
          </cell>
        </row>
        <row r="686">
          <cell r="G686">
            <v>0</v>
          </cell>
          <cell r="K686">
            <v>0</v>
          </cell>
          <cell r="O686">
            <v>0</v>
          </cell>
          <cell r="P686">
            <v>0</v>
          </cell>
        </row>
        <row r="687">
          <cell r="G687">
            <v>0</v>
          </cell>
          <cell r="K687">
            <v>0</v>
          </cell>
          <cell r="O687">
            <v>0</v>
          </cell>
          <cell r="P687">
            <v>0</v>
          </cell>
        </row>
        <row r="688">
          <cell r="G688">
            <v>0</v>
          </cell>
          <cell r="K688">
            <v>0</v>
          </cell>
          <cell r="O688">
            <v>0</v>
          </cell>
          <cell r="P688">
            <v>0</v>
          </cell>
        </row>
        <row r="689">
          <cell r="G689">
            <v>0</v>
          </cell>
          <cell r="K689">
            <v>0</v>
          </cell>
          <cell r="O689">
            <v>0</v>
          </cell>
          <cell r="P689">
            <v>0</v>
          </cell>
        </row>
        <row r="690">
          <cell r="G690">
            <v>0</v>
          </cell>
          <cell r="K690">
            <v>0</v>
          </cell>
          <cell r="O690">
            <v>0</v>
          </cell>
          <cell r="P690">
            <v>0</v>
          </cell>
        </row>
        <row r="691">
          <cell r="G691">
            <v>0</v>
          </cell>
          <cell r="K691">
            <v>0</v>
          </cell>
          <cell r="O691">
            <v>0</v>
          </cell>
          <cell r="P691">
            <v>0</v>
          </cell>
        </row>
        <row r="692">
          <cell r="G692">
            <v>0</v>
          </cell>
          <cell r="K692">
            <v>0</v>
          </cell>
          <cell r="O692">
            <v>0</v>
          </cell>
          <cell r="P692">
            <v>0</v>
          </cell>
        </row>
        <row r="693">
          <cell r="G693">
            <v>0</v>
          </cell>
          <cell r="K693">
            <v>0</v>
          </cell>
          <cell r="O693">
            <v>0</v>
          </cell>
          <cell r="P693">
            <v>0</v>
          </cell>
        </row>
        <row r="694">
          <cell r="G694">
            <v>0</v>
          </cell>
          <cell r="K694">
            <v>0</v>
          </cell>
          <cell r="O694">
            <v>0</v>
          </cell>
          <cell r="P694">
            <v>0</v>
          </cell>
        </row>
        <row r="695">
          <cell r="G695">
            <v>0</v>
          </cell>
          <cell r="K695">
            <v>0</v>
          </cell>
          <cell r="O695">
            <v>0</v>
          </cell>
          <cell r="P695">
            <v>0</v>
          </cell>
        </row>
        <row r="696">
          <cell r="G696">
            <v>0</v>
          </cell>
          <cell r="K696">
            <v>0</v>
          </cell>
          <cell r="O696">
            <v>0</v>
          </cell>
          <cell r="P696">
            <v>0</v>
          </cell>
        </row>
        <row r="697">
          <cell r="G697">
            <v>0</v>
          </cell>
          <cell r="K697">
            <v>0</v>
          </cell>
          <cell r="O697">
            <v>0</v>
          </cell>
          <cell r="P697">
            <v>0</v>
          </cell>
        </row>
        <row r="698">
          <cell r="G698">
            <v>0</v>
          </cell>
          <cell r="K698">
            <v>0</v>
          </cell>
          <cell r="O698">
            <v>0</v>
          </cell>
          <cell r="P698">
            <v>0</v>
          </cell>
        </row>
        <row r="699">
          <cell r="G699">
            <v>0</v>
          </cell>
          <cell r="K699">
            <v>0</v>
          </cell>
          <cell r="O699">
            <v>0</v>
          </cell>
          <cell r="P699">
            <v>0</v>
          </cell>
        </row>
        <row r="700">
          <cell r="G700">
            <v>0</v>
          </cell>
          <cell r="K700">
            <v>0</v>
          </cell>
          <cell r="O700">
            <v>0</v>
          </cell>
          <cell r="P700">
            <v>0</v>
          </cell>
        </row>
        <row r="701">
          <cell r="G701">
            <v>0</v>
          </cell>
          <cell r="K701">
            <v>0</v>
          </cell>
          <cell r="O701">
            <v>0</v>
          </cell>
          <cell r="P701">
            <v>0</v>
          </cell>
        </row>
        <row r="702">
          <cell r="G702">
            <v>0</v>
          </cell>
          <cell r="K702">
            <v>0</v>
          </cell>
          <cell r="O702">
            <v>0</v>
          </cell>
          <cell r="P702">
            <v>0</v>
          </cell>
        </row>
        <row r="703">
          <cell r="G703">
            <v>0</v>
          </cell>
          <cell r="K703">
            <v>0</v>
          </cell>
          <cell r="O703">
            <v>0</v>
          </cell>
          <cell r="P703">
            <v>0</v>
          </cell>
        </row>
        <row r="704">
          <cell r="G704">
            <v>0</v>
          </cell>
          <cell r="K704">
            <v>0</v>
          </cell>
          <cell r="O704">
            <v>0</v>
          </cell>
          <cell r="P704">
            <v>0</v>
          </cell>
        </row>
        <row r="705">
          <cell r="G705">
            <v>0</v>
          </cell>
          <cell r="K705">
            <v>0</v>
          </cell>
          <cell r="O705">
            <v>0</v>
          </cell>
          <cell r="P705">
            <v>0</v>
          </cell>
        </row>
        <row r="706">
          <cell r="G706">
            <v>0</v>
          </cell>
          <cell r="K706">
            <v>0</v>
          </cell>
          <cell r="O706">
            <v>0</v>
          </cell>
          <cell r="P706">
            <v>0</v>
          </cell>
        </row>
        <row r="707">
          <cell r="G707">
            <v>0</v>
          </cell>
          <cell r="K707">
            <v>0</v>
          </cell>
          <cell r="O707">
            <v>0</v>
          </cell>
          <cell r="P707">
            <v>0</v>
          </cell>
        </row>
        <row r="708">
          <cell r="G708">
            <v>0</v>
          </cell>
          <cell r="K708">
            <v>0</v>
          </cell>
          <cell r="O708">
            <v>0</v>
          </cell>
          <cell r="P708">
            <v>0</v>
          </cell>
        </row>
        <row r="709">
          <cell r="G709">
            <v>0</v>
          </cell>
          <cell r="K709">
            <v>0</v>
          </cell>
          <cell r="O709">
            <v>0</v>
          </cell>
          <cell r="P709">
            <v>0</v>
          </cell>
        </row>
        <row r="710">
          <cell r="G710">
            <v>0</v>
          </cell>
          <cell r="K710">
            <v>0</v>
          </cell>
          <cell r="O710">
            <v>0</v>
          </cell>
          <cell r="P710">
            <v>0</v>
          </cell>
        </row>
        <row r="711">
          <cell r="G711">
            <v>0</v>
          </cell>
          <cell r="K711">
            <v>0</v>
          </cell>
          <cell r="O711">
            <v>0</v>
          </cell>
          <cell r="P711">
            <v>0</v>
          </cell>
        </row>
        <row r="712">
          <cell r="G712">
            <v>0</v>
          </cell>
          <cell r="K712">
            <v>0</v>
          </cell>
          <cell r="O712">
            <v>0</v>
          </cell>
          <cell r="P712">
            <v>0</v>
          </cell>
        </row>
        <row r="713">
          <cell r="G713">
            <v>0</v>
          </cell>
          <cell r="K713">
            <v>0</v>
          </cell>
          <cell r="O713">
            <v>0</v>
          </cell>
          <cell r="P713">
            <v>0</v>
          </cell>
        </row>
        <row r="714">
          <cell r="G714">
            <v>0</v>
          </cell>
          <cell r="K714">
            <v>0</v>
          </cell>
          <cell r="O714">
            <v>0</v>
          </cell>
          <cell r="P714">
            <v>0</v>
          </cell>
        </row>
        <row r="715">
          <cell r="G715">
            <v>0</v>
          </cell>
          <cell r="K715">
            <v>0</v>
          </cell>
          <cell r="O715">
            <v>0</v>
          </cell>
          <cell r="P715">
            <v>0</v>
          </cell>
        </row>
        <row r="716">
          <cell r="G716">
            <v>0</v>
          </cell>
          <cell r="K716">
            <v>0</v>
          </cell>
          <cell r="O716">
            <v>0</v>
          </cell>
          <cell r="P716">
            <v>0</v>
          </cell>
        </row>
        <row r="717">
          <cell r="G717">
            <v>0</v>
          </cell>
          <cell r="K717">
            <v>0</v>
          </cell>
          <cell r="O717">
            <v>0</v>
          </cell>
          <cell r="P717">
            <v>0</v>
          </cell>
        </row>
        <row r="718">
          <cell r="G718">
            <v>0</v>
          </cell>
          <cell r="K718">
            <v>0</v>
          </cell>
          <cell r="O718">
            <v>0</v>
          </cell>
          <cell r="P718">
            <v>0</v>
          </cell>
        </row>
        <row r="719">
          <cell r="G719">
            <v>0</v>
          </cell>
          <cell r="K719">
            <v>0</v>
          </cell>
          <cell r="O719">
            <v>0</v>
          </cell>
          <cell r="P719">
            <v>0</v>
          </cell>
        </row>
        <row r="720">
          <cell r="G720">
            <v>0</v>
          </cell>
          <cell r="K720">
            <v>0</v>
          </cell>
          <cell r="O720">
            <v>0</v>
          </cell>
          <cell r="P720">
            <v>0</v>
          </cell>
        </row>
        <row r="721">
          <cell r="G721">
            <v>0</v>
          </cell>
          <cell r="K721">
            <v>0</v>
          </cell>
          <cell r="O721">
            <v>0</v>
          </cell>
          <cell r="P721">
            <v>0</v>
          </cell>
        </row>
        <row r="722">
          <cell r="G722">
            <v>0</v>
          </cell>
          <cell r="K722">
            <v>0</v>
          </cell>
          <cell r="O722">
            <v>0</v>
          </cell>
          <cell r="P722">
            <v>0</v>
          </cell>
        </row>
        <row r="723">
          <cell r="G723">
            <v>0</v>
          </cell>
          <cell r="K723">
            <v>0</v>
          </cell>
          <cell r="O723">
            <v>0</v>
          </cell>
          <cell r="P723">
            <v>0</v>
          </cell>
        </row>
        <row r="724">
          <cell r="G724">
            <v>0</v>
          </cell>
          <cell r="K724">
            <v>0</v>
          </cell>
          <cell r="O724">
            <v>0</v>
          </cell>
          <cell r="P724">
            <v>0</v>
          </cell>
        </row>
        <row r="725">
          <cell r="G725">
            <v>0</v>
          </cell>
          <cell r="K725">
            <v>0</v>
          </cell>
          <cell r="O725">
            <v>0</v>
          </cell>
          <cell r="P725">
            <v>0</v>
          </cell>
        </row>
        <row r="726">
          <cell r="G726">
            <v>0</v>
          </cell>
          <cell r="K726">
            <v>0</v>
          </cell>
          <cell r="O726">
            <v>0</v>
          </cell>
          <cell r="P726">
            <v>0</v>
          </cell>
        </row>
        <row r="727">
          <cell r="G727">
            <v>0</v>
          </cell>
          <cell r="K727">
            <v>0</v>
          </cell>
          <cell r="O727">
            <v>0</v>
          </cell>
          <cell r="P727">
            <v>0</v>
          </cell>
        </row>
        <row r="728">
          <cell r="G728">
            <v>0</v>
          </cell>
          <cell r="K728">
            <v>0</v>
          </cell>
          <cell r="O728">
            <v>0</v>
          </cell>
          <cell r="P728">
            <v>0</v>
          </cell>
        </row>
        <row r="729">
          <cell r="G729">
            <v>0</v>
          </cell>
          <cell r="K729">
            <v>0</v>
          </cell>
          <cell r="O729">
            <v>0</v>
          </cell>
          <cell r="P729">
            <v>0</v>
          </cell>
        </row>
        <row r="730">
          <cell r="G730">
            <v>0</v>
          </cell>
          <cell r="K730">
            <v>0</v>
          </cell>
          <cell r="O730">
            <v>0</v>
          </cell>
          <cell r="P730">
            <v>0</v>
          </cell>
        </row>
        <row r="731">
          <cell r="G731">
            <v>0</v>
          </cell>
          <cell r="K731">
            <v>0</v>
          </cell>
          <cell r="O731">
            <v>0</v>
          </cell>
          <cell r="P731">
            <v>0</v>
          </cell>
        </row>
        <row r="732">
          <cell r="G732">
            <v>0</v>
          </cell>
          <cell r="K732">
            <v>0</v>
          </cell>
          <cell r="O732">
            <v>0</v>
          </cell>
          <cell r="P732">
            <v>0</v>
          </cell>
        </row>
        <row r="733">
          <cell r="G733">
            <v>0</v>
          </cell>
          <cell r="K733">
            <v>0</v>
          </cell>
          <cell r="O733">
            <v>0</v>
          </cell>
          <cell r="P733">
            <v>0</v>
          </cell>
        </row>
        <row r="734">
          <cell r="G734">
            <v>0</v>
          </cell>
          <cell r="K734">
            <v>0</v>
          </cell>
          <cell r="O734">
            <v>0</v>
          </cell>
          <cell r="P734">
            <v>0</v>
          </cell>
        </row>
        <row r="735">
          <cell r="G735">
            <v>0</v>
          </cell>
          <cell r="K735">
            <v>0</v>
          </cell>
          <cell r="O735">
            <v>0</v>
          </cell>
          <cell r="P735">
            <v>0</v>
          </cell>
        </row>
        <row r="736">
          <cell r="G736">
            <v>0</v>
          </cell>
          <cell r="K736">
            <v>0</v>
          </cell>
          <cell r="O736">
            <v>0</v>
          </cell>
          <cell r="P736">
            <v>0</v>
          </cell>
        </row>
        <row r="737">
          <cell r="G737">
            <v>0</v>
          </cell>
          <cell r="K737">
            <v>0</v>
          </cell>
          <cell r="O737">
            <v>0</v>
          </cell>
          <cell r="P737">
            <v>0</v>
          </cell>
        </row>
        <row r="738">
          <cell r="G738">
            <v>0</v>
          </cell>
          <cell r="K738">
            <v>0</v>
          </cell>
          <cell r="O738">
            <v>0</v>
          </cell>
          <cell r="P738">
            <v>0</v>
          </cell>
        </row>
        <row r="739">
          <cell r="G739">
            <v>0</v>
          </cell>
          <cell r="K739">
            <v>0</v>
          </cell>
          <cell r="O739">
            <v>0</v>
          </cell>
          <cell r="P739">
            <v>0</v>
          </cell>
        </row>
        <row r="740">
          <cell r="G740">
            <v>0</v>
          </cell>
          <cell r="K740">
            <v>0</v>
          </cell>
          <cell r="O740">
            <v>0</v>
          </cell>
          <cell r="P740">
            <v>0</v>
          </cell>
        </row>
        <row r="741">
          <cell r="G741">
            <v>0</v>
          </cell>
          <cell r="K741">
            <v>0</v>
          </cell>
          <cell r="O741">
            <v>0</v>
          </cell>
          <cell r="P741">
            <v>0</v>
          </cell>
        </row>
        <row r="742">
          <cell r="G742">
            <v>0</v>
          </cell>
          <cell r="K742">
            <v>0</v>
          </cell>
          <cell r="O742">
            <v>0</v>
          </cell>
          <cell r="P742">
            <v>0</v>
          </cell>
        </row>
        <row r="743">
          <cell r="G743">
            <v>0</v>
          </cell>
          <cell r="K743">
            <v>0</v>
          </cell>
          <cell r="O743">
            <v>0</v>
          </cell>
          <cell r="P743">
            <v>0</v>
          </cell>
        </row>
        <row r="744">
          <cell r="G744">
            <v>0</v>
          </cell>
          <cell r="K744">
            <v>0</v>
          </cell>
          <cell r="O744">
            <v>0</v>
          </cell>
          <cell r="P744">
            <v>0</v>
          </cell>
        </row>
        <row r="745">
          <cell r="G745">
            <v>0</v>
          </cell>
          <cell r="K745">
            <v>0</v>
          </cell>
          <cell r="O745">
            <v>0</v>
          </cell>
          <cell r="P745">
            <v>0</v>
          </cell>
        </row>
        <row r="746">
          <cell r="G746">
            <v>0</v>
          </cell>
          <cell r="K746">
            <v>0</v>
          </cell>
          <cell r="O746">
            <v>0</v>
          </cell>
          <cell r="P746">
            <v>0</v>
          </cell>
        </row>
        <row r="747">
          <cell r="G747">
            <v>0</v>
          </cell>
          <cell r="K747">
            <v>0</v>
          </cell>
          <cell r="O747">
            <v>0</v>
          </cell>
          <cell r="P747">
            <v>0</v>
          </cell>
        </row>
        <row r="748">
          <cell r="G748">
            <v>0</v>
          </cell>
          <cell r="K748">
            <v>0</v>
          </cell>
          <cell r="O748">
            <v>0</v>
          </cell>
          <cell r="P748">
            <v>0</v>
          </cell>
        </row>
        <row r="749">
          <cell r="G749">
            <v>0</v>
          </cell>
          <cell r="K749">
            <v>0</v>
          </cell>
          <cell r="O749">
            <v>0</v>
          </cell>
          <cell r="P749">
            <v>0</v>
          </cell>
        </row>
        <row r="750">
          <cell r="G750">
            <v>0</v>
          </cell>
          <cell r="K750">
            <v>0</v>
          </cell>
          <cell r="O750">
            <v>0</v>
          </cell>
          <cell r="P750">
            <v>0</v>
          </cell>
        </row>
        <row r="751">
          <cell r="G751">
            <v>0</v>
          </cell>
          <cell r="K751">
            <v>0</v>
          </cell>
          <cell r="O751">
            <v>0</v>
          </cell>
          <cell r="P751">
            <v>0</v>
          </cell>
        </row>
        <row r="752">
          <cell r="G752">
            <v>0</v>
          </cell>
          <cell r="K752">
            <v>0</v>
          </cell>
          <cell r="O752">
            <v>0</v>
          </cell>
          <cell r="P752">
            <v>0</v>
          </cell>
        </row>
        <row r="753">
          <cell r="G753">
            <v>0</v>
          </cell>
          <cell r="K753">
            <v>0</v>
          </cell>
          <cell r="O753">
            <v>0</v>
          </cell>
          <cell r="P753">
            <v>0</v>
          </cell>
        </row>
        <row r="754">
          <cell r="G754">
            <v>0</v>
          </cell>
          <cell r="K754">
            <v>0</v>
          </cell>
          <cell r="O754">
            <v>0</v>
          </cell>
          <cell r="P754">
            <v>0</v>
          </cell>
        </row>
        <row r="755">
          <cell r="G755">
            <v>0</v>
          </cell>
          <cell r="K755">
            <v>0</v>
          </cell>
          <cell r="O755">
            <v>0</v>
          </cell>
          <cell r="P755">
            <v>0</v>
          </cell>
        </row>
        <row r="756">
          <cell r="G756">
            <v>0</v>
          </cell>
          <cell r="K756">
            <v>0</v>
          </cell>
          <cell r="O756">
            <v>0</v>
          </cell>
          <cell r="P756">
            <v>0</v>
          </cell>
        </row>
        <row r="757">
          <cell r="G757">
            <v>0</v>
          </cell>
          <cell r="K757">
            <v>0</v>
          </cell>
          <cell r="O757">
            <v>0</v>
          </cell>
          <cell r="P757">
            <v>0</v>
          </cell>
        </row>
        <row r="758">
          <cell r="G758">
            <v>0</v>
          </cell>
          <cell r="K758">
            <v>0</v>
          </cell>
          <cell r="O758">
            <v>0</v>
          </cell>
          <cell r="P758">
            <v>0</v>
          </cell>
        </row>
        <row r="759">
          <cell r="G759">
            <v>0</v>
          </cell>
          <cell r="K759">
            <v>0</v>
          </cell>
          <cell r="O759">
            <v>0</v>
          </cell>
          <cell r="P759">
            <v>0</v>
          </cell>
        </row>
        <row r="760">
          <cell r="G760">
            <v>0</v>
          </cell>
          <cell r="K760">
            <v>0</v>
          </cell>
          <cell r="O760">
            <v>0</v>
          </cell>
          <cell r="P760">
            <v>0</v>
          </cell>
        </row>
        <row r="761">
          <cell r="G761">
            <v>0</v>
          </cell>
          <cell r="K761">
            <v>0</v>
          </cell>
          <cell r="O761">
            <v>0</v>
          </cell>
          <cell r="P761">
            <v>0</v>
          </cell>
        </row>
        <row r="762">
          <cell r="G762">
            <v>0</v>
          </cell>
          <cell r="K762">
            <v>0</v>
          </cell>
          <cell r="O762">
            <v>0</v>
          </cell>
          <cell r="P762">
            <v>0</v>
          </cell>
        </row>
        <row r="763">
          <cell r="G763">
            <v>0</v>
          </cell>
          <cell r="K763">
            <v>0</v>
          </cell>
          <cell r="O763">
            <v>0</v>
          </cell>
          <cell r="P763">
            <v>0</v>
          </cell>
        </row>
        <row r="764">
          <cell r="G764">
            <v>0</v>
          </cell>
          <cell r="K764">
            <v>0</v>
          </cell>
          <cell r="O764">
            <v>0</v>
          </cell>
          <cell r="P764">
            <v>0</v>
          </cell>
        </row>
        <row r="765">
          <cell r="G765">
            <v>0</v>
          </cell>
          <cell r="K765">
            <v>0</v>
          </cell>
          <cell r="O765">
            <v>0</v>
          </cell>
          <cell r="P765">
            <v>0</v>
          </cell>
        </row>
        <row r="766">
          <cell r="G766">
            <v>0</v>
          </cell>
          <cell r="K766">
            <v>0</v>
          </cell>
          <cell r="O766">
            <v>0</v>
          </cell>
          <cell r="P766">
            <v>0</v>
          </cell>
        </row>
        <row r="767">
          <cell r="G767">
            <v>0</v>
          </cell>
          <cell r="K767">
            <v>0</v>
          </cell>
          <cell r="O767">
            <v>0</v>
          </cell>
          <cell r="P767">
            <v>0</v>
          </cell>
        </row>
        <row r="768">
          <cell r="G768">
            <v>0</v>
          </cell>
          <cell r="K768">
            <v>0</v>
          </cell>
          <cell r="O768">
            <v>0</v>
          </cell>
          <cell r="P768">
            <v>0</v>
          </cell>
        </row>
        <row r="769">
          <cell r="G769">
            <v>0</v>
          </cell>
          <cell r="K769">
            <v>0</v>
          </cell>
          <cell r="O769">
            <v>0</v>
          </cell>
          <cell r="P769">
            <v>0</v>
          </cell>
        </row>
        <row r="770">
          <cell r="G770">
            <v>0</v>
          </cell>
          <cell r="K770">
            <v>0</v>
          </cell>
          <cell r="O770">
            <v>0</v>
          </cell>
          <cell r="P770">
            <v>0</v>
          </cell>
        </row>
        <row r="771">
          <cell r="G771">
            <v>0</v>
          </cell>
          <cell r="K771">
            <v>0</v>
          </cell>
          <cell r="O771">
            <v>0</v>
          </cell>
          <cell r="P771">
            <v>0</v>
          </cell>
        </row>
        <row r="772">
          <cell r="G772">
            <v>0</v>
          </cell>
          <cell r="K772">
            <v>0</v>
          </cell>
          <cell r="O772">
            <v>0</v>
          </cell>
          <cell r="P772">
            <v>0</v>
          </cell>
        </row>
        <row r="773">
          <cell r="G773">
            <v>0</v>
          </cell>
          <cell r="K773">
            <v>0</v>
          </cell>
          <cell r="O773">
            <v>0</v>
          </cell>
          <cell r="P773">
            <v>0</v>
          </cell>
        </row>
        <row r="774">
          <cell r="G774">
            <v>0</v>
          </cell>
          <cell r="K774">
            <v>0</v>
          </cell>
          <cell r="O774">
            <v>0</v>
          </cell>
          <cell r="P774">
            <v>0</v>
          </cell>
        </row>
        <row r="775">
          <cell r="G775">
            <v>0</v>
          </cell>
          <cell r="K775">
            <v>0</v>
          </cell>
          <cell r="O775">
            <v>0</v>
          </cell>
          <cell r="P775">
            <v>0</v>
          </cell>
        </row>
        <row r="776">
          <cell r="G776">
            <v>0</v>
          </cell>
          <cell r="K776">
            <v>0</v>
          </cell>
          <cell r="O776">
            <v>0</v>
          </cell>
          <cell r="P776">
            <v>0</v>
          </cell>
        </row>
        <row r="777">
          <cell r="G777">
            <v>0</v>
          </cell>
          <cell r="K777">
            <v>0</v>
          </cell>
          <cell r="O777">
            <v>0</v>
          </cell>
          <cell r="P777">
            <v>0</v>
          </cell>
        </row>
        <row r="778">
          <cell r="G778">
            <v>0</v>
          </cell>
          <cell r="K778">
            <v>0</v>
          </cell>
          <cell r="O778">
            <v>0</v>
          </cell>
          <cell r="P778">
            <v>0</v>
          </cell>
        </row>
        <row r="779">
          <cell r="G779">
            <v>0</v>
          </cell>
          <cell r="K779">
            <v>0</v>
          </cell>
          <cell r="O779">
            <v>0</v>
          </cell>
          <cell r="P779">
            <v>0</v>
          </cell>
        </row>
        <row r="780">
          <cell r="G780">
            <v>0</v>
          </cell>
          <cell r="K780">
            <v>0</v>
          </cell>
          <cell r="O780">
            <v>0</v>
          </cell>
          <cell r="P780">
            <v>0</v>
          </cell>
        </row>
        <row r="781">
          <cell r="G781">
            <v>0</v>
          </cell>
          <cell r="K781">
            <v>0</v>
          </cell>
          <cell r="O781">
            <v>0</v>
          </cell>
          <cell r="P781">
            <v>0</v>
          </cell>
        </row>
        <row r="782">
          <cell r="G782">
            <v>0</v>
          </cell>
          <cell r="K782">
            <v>0</v>
          </cell>
          <cell r="O782">
            <v>0</v>
          </cell>
          <cell r="P782">
            <v>0</v>
          </cell>
        </row>
        <row r="783">
          <cell r="G783">
            <v>0</v>
          </cell>
          <cell r="K783">
            <v>0</v>
          </cell>
          <cell r="O783">
            <v>0</v>
          </cell>
          <cell r="P783">
            <v>0</v>
          </cell>
        </row>
        <row r="784">
          <cell r="G784">
            <v>0</v>
          </cell>
          <cell r="K784">
            <v>0</v>
          </cell>
          <cell r="O784">
            <v>0</v>
          </cell>
          <cell r="P784">
            <v>0</v>
          </cell>
        </row>
        <row r="785">
          <cell r="G785">
            <v>0</v>
          </cell>
          <cell r="K785">
            <v>0</v>
          </cell>
          <cell r="O785">
            <v>0</v>
          </cell>
          <cell r="P785">
            <v>0</v>
          </cell>
        </row>
        <row r="786">
          <cell r="G786">
            <v>0</v>
          </cell>
          <cell r="K786">
            <v>0</v>
          </cell>
          <cell r="O786">
            <v>0</v>
          </cell>
          <cell r="P786">
            <v>0</v>
          </cell>
        </row>
        <row r="787">
          <cell r="G787">
            <v>0</v>
          </cell>
          <cell r="K787">
            <v>0</v>
          </cell>
          <cell r="O787">
            <v>0</v>
          </cell>
          <cell r="P787">
            <v>0</v>
          </cell>
        </row>
        <row r="788">
          <cell r="G788">
            <v>0</v>
          </cell>
          <cell r="K788">
            <v>0</v>
          </cell>
          <cell r="O788">
            <v>0</v>
          </cell>
          <cell r="P788">
            <v>0</v>
          </cell>
        </row>
        <row r="789">
          <cell r="G789">
            <v>0</v>
          </cell>
          <cell r="K789">
            <v>0</v>
          </cell>
          <cell r="O789">
            <v>0</v>
          </cell>
          <cell r="P789">
            <v>0</v>
          </cell>
        </row>
        <row r="790">
          <cell r="G790">
            <v>0</v>
          </cell>
          <cell r="K790">
            <v>0</v>
          </cell>
          <cell r="O790">
            <v>0</v>
          </cell>
          <cell r="P790">
            <v>0</v>
          </cell>
        </row>
        <row r="791">
          <cell r="G791">
            <v>0</v>
          </cell>
          <cell r="K791">
            <v>0</v>
          </cell>
          <cell r="O791">
            <v>0</v>
          </cell>
          <cell r="P791">
            <v>0</v>
          </cell>
        </row>
        <row r="792">
          <cell r="G792">
            <v>0</v>
          </cell>
          <cell r="K792">
            <v>0</v>
          </cell>
          <cell r="O792">
            <v>0</v>
          </cell>
          <cell r="P792">
            <v>0</v>
          </cell>
        </row>
        <row r="793">
          <cell r="G793">
            <v>0</v>
          </cell>
          <cell r="K793">
            <v>0</v>
          </cell>
          <cell r="O793">
            <v>0</v>
          </cell>
          <cell r="P793">
            <v>0</v>
          </cell>
        </row>
        <row r="794">
          <cell r="G794">
            <v>0</v>
          </cell>
          <cell r="K794">
            <v>0</v>
          </cell>
          <cell r="O794">
            <v>0</v>
          </cell>
          <cell r="P794">
            <v>0</v>
          </cell>
        </row>
        <row r="795">
          <cell r="G795">
            <v>0</v>
          </cell>
          <cell r="K795">
            <v>0</v>
          </cell>
          <cell r="O795">
            <v>0</v>
          </cell>
          <cell r="P795">
            <v>0</v>
          </cell>
        </row>
        <row r="796">
          <cell r="G796">
            <v>0</v>
          </cell>
          <cell r="K796">
            <v>0</v>
          </cell>
          <cell r="O796">
            <v>0</v>
          </cell>
          <cell r="P796">
            <v>0</v>
          </cell>
        </row>
        <row r="797">
          <cell r="G797">
            <v>0</v>
          </cell>
          <cell r="K797">
            <v>0</v>
          </cell>
          <cell r="O797">
            <v>0</v>
          </cell>
          <cell r="P797">
            <v>0</v>
          </cell>
        </row>
        <row r="798">
          <cell r="G798">
            <v>0</v>
          </cell>
          <cell r="K798">
            <v>0</v>
          </cell>
          <cell r="O798">
            <v>0</v>
          </cell>
          <cell r="P798">
            <v>0</v>
          </cell>
        </row>
        <row r="799">
          <cell r="G799">
            <v>0</v>
          </cell>
          <cell r="K799">
            <v>0</v>
          </cell>
          <cell r="O799">
            <v>0</v>
          </cell>
          <cell r="P799">
            <v>0</v>
          </cell>
        </row>
        <row r="800">
          <cell r="G800">
            <v>0</v>
          </cell>
          <cell r="K800">
            <v>0</v>
          </cell>
          <cell r="O800">
            <v>0</v>
          </cell>
          <cell r="P800">
            <v>0</v>
          </cell>
        </row>
        <row r="801">
          <cell r="G801">
            <v>0</v>
          </cell>
          <cell r="K801">
            <v>0</v>
          </cell>
          <cell r="O801">
            <v>0</v>
          </cell>
          <cell r="P801">
            <v>0</v>
          </cell>
        </row>
        <row r="802">
          <cell r="G802">
            <v>0</v>
          </cell>
          <cell r="K802">
            <v>0</v>
          </cell>
          <cell r="O802">
            <v>0</v>
          </cell>
          <cell r="P802">
            <v>0</v>
          </cell>
        </row>
        <row r="803">
          <cell r="G803">
            <v>0</v>
          </cell>
          <cell r="K803">
            <v>0</v>
          </cell>
          <cell r="O803">
            <v>0</v>
          </cell>
          <cell r="P803">
            <v>0</v>
          </cell>
        </row>
        <row r="804">
          <cell r="G804">
            <v>0</v>
          </cell>
          <cell r="K804">
            <v>0</v>
          </cell>
          <cell r="O804">
            <v>0</v>
          </cell>
          <cell r="P804">
            <v>0</v>
          </cell>
        </row>
        <row r="805">
          <cell r="G805">
            <v>0</v>
          </cell>
          <cell r="K805">
            <v>0</v>
          </cell>
          <cell r="O805">
            <v>0</v>
          </cell>
          <cell r="P805">
            <v>0</v>
          </cell>
        </row>
        <row r="806">
          <cell r="G806">
            <v>0</v>
          </cell>
          <cell r="K806">
            <v>0</v>
          </cell>
          <cell r="O806">
            <v>0</v>
          </cell>
          <cell r="P806">
            <v>0</v>
          </cell>
        </row>
        <row r="807">
          <cell r="G807">
            <v>0</v>
          </cell>
          <cell r="K807">
            <v>0</v>
          </cell>
          <cell r="O807">
            <v>0</v>
          </cell>
          <cell r="P807">
            <v>0</v>
          </cell>
        </row>
        <row r="808">
          <cell r="G808">
            <v>0</v>
          </cell>
          <cell r="K808">
            <v>0</v>
          </cell>
          <cell r="O808">
            <v>0</v>
          </cell>
          <cell r="P808">
            <v>0</v>
          </cell>
        </row>
        <row r="809">
          <cell r="G809">
            <v>0</v>
          </cell>
          <cell r="K809">
            <v>0</v>
          </cell>
          <cell r="O809">
            <v>0</v>
          </cell>
          <cell r="P809">
            <v>0</v>
          </cell>
        </row>
        <row r="810">
          <cell r="G810">
            <v>0</v>
          </cell>
          <cell r="K810">
            <v>0</v>
          </cell>
          <cell r="O810">
            <v>0</v>
          </cell>
          <cell r="P810">
            <v>0</v>
          </cell>
        </row>
        <row r="811">
          <cell r="G811">
            <v>0</v>
          </cell>
          <cell r="K811">
            <v>0</v>
          </cell>
          <cell r="O811">
            <v>0</v>
          </cell>
          <cell r="P811">
            <v>0</v>
          </cell>
        </row>
        <row r="812">
          <cell r="G812">
            <v>0</v>
          </cell>
          <cell r="K812">
            <v>0</v>
          </cell>
          <cell r="O812">
            <v>0</v>
          </cell>
          <cell r="P812">
            <v>0</v>
          </cell>
        </row>
        <row r="813">
          <cell r="G813">
            <v>0</v>
          </cell>
          <cell r="K813">
            <v>0</v>
          </cell>
          <cell r="O813">
            <v>0</v>
          </cell>
          <cell r="P813">
            <v>0</v>
          </cell>
        </row>
        <row r="814">
          <cell r="G814">
            <v>0</v>
          </cell>
          <cell r="K814">
            <v>0</v>
          </cell>
          <cell r="O814">
            <v>0</v>
          </cell>
          <cell r="P814">
            <v>0</v>
          </cell>
        </row>
        <row r="815">
          <cell r="G815">
            <v>0</v>
          </cell>
          <cell r="K815">
            <v>0</v>
          </cell>
          <cell r="O815">
            <v>0</v>
          </cell>
          <cell r="P815">
            <v>0</v>
          </cell>
        </row>
        <row r="816">
          <cell r="G816">
            <v>0</v>
          </cell>
          <cell r="K816">
            <v>0</v>
          </cell>
          <cell r="O816">
            <v>0</v>
          </cell>
          <cell r="P816">
            <v>0</v>
          </cell>
        </row>
        <row r="817">
          <cell r="G817">
            <v>0</v>
          </cell>
          <cell r="K817">
            <v>0</v>
          </cell>
          <cell r="O817">
            <v>0</v>
          </cell>
          <cell r="P817">
            <v>0</v>
          </cell>
        </row>
        <row r="818">
          <cell r="G818">
            <v>0</v>
          </cell>
          <cell r="K818">
            <v>0</v>
          </cell>
          <cell r="O818">
            <v>0</v>
          </cell>
          <cell r="P818">
            <v>0</v>
          </cell>
        </row>
        <row r="819">
          <cell r="G819">
            <v>0</v>
          </cell>
          <cell r="K819">
            <v>0</v>
          </cell>
          <cell r="O819">
            <v>0</v>
          </cell>
          <cell r="P819">
            <v>0</v>
          </cell>
        </row>
        <row r="820">
          <cell r="G820">
            <v>0</v>
          </cell>
          <cell r="K820">
            <v>0</v>
          </cell>
          <cell r="O820">
            <v>0</v>
          </cell>
          <cell r="P820">
            <v>0</v>
          </cell>
        </row>
        <row r="821">
          <cell r="G821">
            <v>0</v>
          </cell>
          <cell r="K821">
            <v>0</v>
          </cell>
          <cell r="O821">
            <v>0</v>
          </cell>
          <cell r="P821">
            <v>0</v>
          </cell>
        </row>
        <row r="822">
          <cell r="G822">
            <v>0</v>
          </cell>
          <cell r="K822">
            <v>0</v>
          </cell>
          <cell r="O822">
            <v>0</v>
          </cell>
          <cell r="P822">
            <v>0</v>
          </cell>
        </row>
        <row r="823">
          <cell r="G823">
            <v>0</v>
          </cell>
          <cell r="K823">
            <v>0</v>
          </cell>
          <cell r="O823">
            <v>0</v>
          </cell>
          <cell r="P823">
            <v>0</v>
          </cell>
        </row>
        <row r="824">
          <cell r="G824">
            <v>0</v>
          </cell>
          <cell r="K824">
            <v>0</v>
          </cell>
          <cell r="O824">
            <v>0</v>
          </cell>
          <cell r="P824">
            <v>0</v>
          </cell>
        </row>
        <row r="825">
          <cell r="G825">
            <v>0</v>
          </cell>
          <cell r="K825">
            <v>0</v>
          </cell>
          <cell r="O825">
            <v>0</v>
          </cell>
          <cell r="P825">
            <v>0</v>
          </cell>
        </row>
        <row r="826">
          <cell r="G826">
            <v>0</v>
          </cell>
          <cell r="K826">
            <v>0</v>
          </cell>
          <cell r="O826">
            <v>0</v>
          </cell>
          <cell r="P826">
            <v>0</v>
          </cell>
        </row>
        <row r="827">
          <cell r="G827">
            <v>0</v>
          </cell>
          <cell r="K827">
            <v>0</v>
          </cell>
          <cell r="O827">
            <v>0</v>
          </cell>
          <cell r="P827">
            <v>0</v>
          </cell>
        </row>
        <row r="828">
          <cell r="G828">
            <v>0</v>
          </cell>
          <cell r="K828">
            <v>0</v>
          </cell>
          <cell r="O828">
            <v>0</v>
          </cell>
          <cell r="P828">
            <v>0</v>
          </cell>
        </row>
        <row r="829">
          <cell r="G829">
            <v>0</v>
          </cell>
          <cell r="K829">
            <v>0</v>
          </cell>
          <cell r="O829">
            <v>0</v>
          </cell>
          <cell r="P829">
            <v>0</v>
          </cell>
        </row>
        <row r="830">
          <cell r="G830">
            <v>0</v>
          </cell>
          <cell r="K830">
            <v>0</v>
          </cell>
          <cell r="O830">
            <v>0</v>
          </cell>
          <cell r="P830">
            <v>0</v>
          </cell>
        </row>
        <row r="831">
          <cell r="G831">
            <v>0</v>
          </cell>
          <cell r="K831">
            <v>0</v>
          </cell>
          <cell r="O831">
            <v>0</v>
          </cell>
          <cell r="P831">
            <v>0</v>
          </cell>
        </row>
        <row r="832">
          <cell r="G832">
            <v>0</v>
          </cell>
          <cell r="K832">
            <v>0</v>
          </cell>
          <cell r="O832">
            <v>0</v>
          </cell>
          <cell r="P832">
            <v>0</v>
          </cell>
        </row>
        <row r="833">
          <cell r="G833">
            <v>0</v>
          </cell>
          <cell r="K833">
            <v>0</v>
          </cell>
          <cell r="O833">
            <v>0</v>
          </cell>
          <cell r="P833">
            <v>0</v>
          </cell>
        </row>
        <row r="834">
          <cell r="G834">
            <v>0</v>
          </cell>
          <cell r="K834">
            <v>0</v>
          </cell>
          <cell r="O834">
            <v>0</v>
          </cell>
          <cell r="P834">
            <v>0</v>
          </cell>
        </row>
        <row r="835">
          <cell r="G835">
            <v>0</v>
          </cell>
          <cell r="K835">
            <v>0</v>
          </cell>
          <cell r="O835">
            <v>0</v>
          </cell>
          <cell r="P835">
            <v>0</v>
          </cell>
        </row>
        <row r="836">
          <cell r="G836">
            <v>0</v>
          </cell>
          <cell r="K836">
            <v>0</v>
          </cell>
          <cell r="O836">
            <v>0</v>
          </cell>
          <cell r="P836">
            <v>0</v>
          </cell>
        </row>
        <row r="837">
          <cell r="G837">
            <v>0</v>
          </cell>
          <cell r="K837">
            <v>0</v>
          </cell>
          <cell r="O837">
            <v>0</v>
          </cell>
          <cell r="P837">
            <v>0</v>
          </cell>
        </row>
        <row r="838">
          <cell r="G838">
            <v>0</v>
          </cell>
          <cell r="K838">
            <v>0</v>
          </cell>
          <cell r="O838">
            <v>0</v>
          </cell>
          <cell r="P838">
            <v>0</v>
          </cell>
        </row>
        <row r="839">
          <cell r="G839">
            <v>0</v>
          </cell>
          <cell r="K839">
            <v>0</v>
          </cell>
          <cell r="O839">
            <v>0</v>
          </cell>
          <cell r="P839">
            <v>0</v>
          </cell>
        </row>
        <row r="840">
          <cell r="G840">
            <v>0</v>
          </cell>
          <cell r="K840">
            <v>0</v>
          </cell>
          <cell r="O840">
            <v>0</v>
          </cell>
          <cell r="P840">
            <v>0</v>
          </cell>
        </row>
        <row r="841">
          <cell r="G841">
            <v>0</v>
          </cell>
          <cell r="K841">
            <v>0</v>
          </cell>
          <cell r="O841">
            <v>0</v>
          </cell>
          <cell r="P841">
            <v>0</v>
          </cell>
        </row>
        <row r="842">
          <cell r="G842">
            <v>0</v>
          </cell>
          <cell r="K842">
            <v>0</v>
          </cell>
          <cell r="O842">
            <v>0</v>
          </cell>
          <cell r="P842">
            <v>0</v>
          </cell>
        </row>
        <row r="843">
          <cell r="G843">
            <v>0</v>
          </cell>
          <cell r="K843">
            <v>0</v>
          </cell>
          <cell r="O843">
            <v>0</v>
          </cell>
          <cell r="P843">
            <v>0</v>
          </cell>
        </row>
        <row r="844">
          <cell r="G844">
            <v>0</v>
          </cell>
          <cell r="K844">
            <v>0</v>
          </cell>
          <cell r="O844">
            <v>0</v>
          </cell>
          <cell r="P844">
            <v>0</v>
          </cell>
        </row>
        <row r="845">
          <cell r="G845">
            <v>0</v>
          </cell>
          <cell r="K845">
            <v>0</v>
          </cell>
          <cell r="O845">
            <v>0</v>
          </cell>
          <cell r="P845">
            <v>0</v>
          </cell>
        </row>
        <row r="846">
          <cell r="G846">
            <v>0</v>
          </cell>
          <cell r="K846">
            <v>0</v>
          </cell>
          <cell r="O846">
            <v>0</v>
          </cell>
          <cell r="P846">
            <v>0</v>
          </cell>
        </row>
        <row r="847">
          <cell r="G847">
            <v>0</v>
          </cell>
          <cell r="K847">
            <v>0</v>
          </cell>
          <cell r="O847">
            <v>0</v>
          </cell>
          <cell r="P847">
            <v>0</v>
          </cell>
        </row>
        <row r="848">
          <cell r="G848">
            <v>0</v>
          </cell>
          <cell r="K848">
            <v>0</v>
          </cell>
          <cell r="O848">
            <v>0</v>
          </cell>
          <cell r="P848">
            <v>0</v>
          </cell>
        </row>
        <row r="849">
          <cell r="G849">
            <v>0</v>
          </cell>
          <cell r="K849">
            <v>0</v>
          </cell>
          <cell r="O849">
            <v>0</v>
          </cell>
          <cell r="P849">
            <v>0</v>
          </cell>
        </row>
        <row r="850">
          <cell r="G850">
            <v>0</v>
          </cell>
          <cell r="K850">
            <v>0</v>
          </cell>
          <cell r="O850">
            <v>0</v>
          </cell>
          <cell r="P850">
            <v>0</v>
          </cell>
        </row>
        <row r="851">
          <cell r="G851">
            <v>0</v>
          </cell>
          <cell r="K851">
            <v>0</v>
          </cell>
          <cell r="O851">
            <v>0</v>
          </cell>
          <cell r="P851">
            <v>0</v>
          </cell>
        </row>
        <row r="852">
          <cell r="G852">
            <v>0</v>
          </cell>
          <cell r="K852">
            <v>0</v>
          </cell>
          <cell r="O852">
            <v>0</v>
          </cell>
          <cell r="P852">
            <v>0</v>
          </cell>
        </row>
        <row r="853">
          <cell r="G853">
            <v>0</v>
          </cell>
          <cell r="K853">
            <v>0</v>
          </cell>
          <cell r="O853">
            <v>0</v>
          </cell>
          <cell r="P853">
            <v>0</v>
          </cell>
        </row>
        <row r="854">
          <cell r="G854">
            <v>0</v>
          </cell>
          <cell r="K854">
            <v>0</v>
          </cell>
          <cell r="O854">
            <v>0</v>
          </cell>
          <cell r="P854">
            <v>0</v>
          </cell>
        </row>
        <row r="855">
          <cell r="G855">
            <v>0</v>
          </cell>
          <cell r="K855">
            <v>0</v>
          </cell>
          <cell r="O855">
            <v>0</v>
          </cell>
          <cell r="P855">
            <v>0</v>
          </cell>
        </row>
        <row r="856">
          <cell r="G856">
            <v>0</v>
          </cell>
          <cell r="K856">
            <v>0</v>
          </cell>
          <cell r="O856">
            <v>0</v>
          </cell>
          <cell r="P856">
            <v>0</v>
          </cell>
        </row>
        <row r="857">
          <cell r="G857">
            <v>0</v>
          </cell>
          <cell r="K857">
            <v>0</v>
          </cell>
          <cell r="O857">
            <v>0</v>
          </cell>
          <cell r="P857">
            <v>0</v>
          </cell>
        </row>
        <row r="858">
          <cell r="G858">
            <v>0</v>
          </cell>
          <cell r="K858">
            <v>0</v>
          </cell>
          <cell r="O858">
            <v>0</v>
          </cell>
          <cell r="P858">
            <v>0</v>
          </cell>
        </row>
        <row r="859">
          <cell r="G859">
            <v>0</v>
          </cell>
          <cell r="K859">
            <v>0</v>
          </cell>
          <cell r="O859">
            <v>0</v>
          </cell>
          <cell r="P859">
            <v>0</v>
          </cell>
        </row>
        <row r="860">
          <cell r="G860">
            <v>0</v>
          </cell>
          <cell r="K860">
            <v>0</v>
          </cell>
          <cell r="O860">
            <v>0</v>
          </cell>
          <cell r="P860">
            <v>0</v>
          </cell>
        </row>
        <row r="861">
          <cell r="G861">
            <v>0</v>
          </cell>
          <cell r="K861">
            <v>0</v>
          </cell>
          <cell r="O861">
            <v>0</v>
          </cell>
          <cell r="P861">
            <v>0</v>
          </cell>
        </row>
        <row r="862">
          <cell r="G862">
            <v>0</v>
          </cell>
          <cell r="K862">
            <v>0</v>
          </cell>
          <cell r="O862">
            <v>0</v>
          </cell>
          <cell r="P862">
            <v>0</v>
          </cell>
        </row>
        <row r="863">
          <cell r="G863">
            <v>0</v>
          </cell>
          <cell r="K863">
            <v>0</v>
          </cell>
          <cell r="O863">
            <v>0</v>
          </cell>
          <cell r="P863">
            <v>0</v>
          </cell>
        </row>
        <row r="864">
          <cell r="G864">
            <v>0</v>
          </cell>
          <cell r="K864">
            <v>0</v>
          </cell>
          <cell r="O864">
            <v>0</v>
          </cell>
          <cell r="P864">
            <v>0</v>
          </cell>
        </row>
        <row r="865">
          <cell r="G865">
            <v>0</v>
          </cell>
          <cell r="K865">
            <v>0</v>
          </cell>
          <cell r="O865">
            <v>0</v>
          </cell>
          <cell r="P865">
            <v>0</v>
          </cell>
        </row>
        <row r="866">
          <cell r="G866">
            <v>0</v>
          </cell>
          <cell r="K866">
            <v>0</v>
          </cell>
          <cell r="O866">
            <v>0</v>
          </cell>
          <cell r="P866">
            <v>0</v>
          </cell>
        </row>
        <row r="867">
          <cell r="G867">
            <v>0</v>
          </cell>
          <cell r="K867">
            <v>0</v>
          </cell>
          <cell r="O867">
            <v>0</v>
          </cell>
          <cell r="P867">
            <v>0</v>
          </cell>
        </row>
        <row r="868">
          <cell r="G868">
            <v>0</v>
          </cell>
          <cell r="K868">
            <v>0</v>
          </cell>
          <cell r="O868">
            <v>0</v>
          </cell>
          <cell r="P868">
            <v>0</v>
          </cell>
        </row>
        <row r="869">
          <cell r="G869">
            <v>0</v>
          </cell>
          <cell r="K869">
            <v>0</v>
          </cell>
          <cell r="O869">
            <v>0</v>
          </cell>
          <cell r="P869">
            <v>0</v>
          </cell>
        </row>
        <row r="870">
          <cell r="G870">
            <v>0</v>
          </cell>
          <cell r="K870">
            <v>0</v>
          </cell>
          <cell r="O870">
            <v>0</v>
          </cell>
          <cell r="P870">
            <v>0</v>
          </cell>
        </row>
        <row r="871">
          <cell r="G871">
            <v>0</v>
          </cell>
          <cell r="K871">
            <v>0</v>
          </cell>
          <cell r="O871">
            <v>0</v>
          </cell>
          <cell r="P871">
            <v>0</v>
          </cell>
        </row>
        <row r="872">
          <cell r="G872">
            <v>0</v>
          </cell>
          <cell r="K872">
            <v>0</v>
          </cell>
          <cell r="O872">
            <v>0</v>
          </cell>
          <cell r="P872">
            <v>0</v>
          </cell>
        </row>
        <row r="873">
          <cell r="G873">
            <v>0</v>
          </cell>
          <cell r="K873">
            <v>0</v>
          </cell>
          <cell r="O873">
            <v>0</v>
          </cell>
          <cell r="P873">
            <v>0</v>
          </cell>
        </row>
        <row r="874">
          <cell r="G874">
            <v>0</v>
          </cell>
          <cell r="K874">
            <v>0</v>
          </cell>
          <cell r="O874">
            <v>0</v>
          </cell>
          <cell r="P874">
            <v>0</v>
          </cell>
        </row>
        <row r="875">
          <cell r="G875">
            <v>0</v>
          </cell>
          <cell r="K875">
            <v>0</v>
          </cell>
          <cell r="O875">
            <v>0</v>
          </cell>
          <cell r="P875">
            <v>0</v>
          </cell>
        </row>
        <row r="876">
          <cell r="G876">
            <v>0</v>
          </cell>
          <cell r="K876">
            <v>0</v>
          </cell>
          <cell r="O876">
            <v>0</v>
          </cell>
          <cell r="P876">
            <v>0</v>
          </cell>
        </row>
        <row r="877">
          <cell r="G877">
            <v>0</v>
          </cell>
          <cell r="K877">
            <v>0</v>
          </cell>
          <cell r="O877">
            <v>0</v>
          </cell>
          <cell r="P877">
            <v>0</v>
          </cell>
        </row>
        <row r="878">
          <cell r="G878">
            <v>0</v>
          </cell>
          <cell r="K878">
            <v>0</v>
          </cell>
          <cell r="O878">
            <v>0</v>
          </cell>
          <cell r="P878">
            <v>0</v>
          </cell>
        </row>
        <row r="879">
          <cell r="G879">
            <v>0</v>
          </cell>
          <cell r="K879">
            <v>0</v>
          </cell>
          <cell r="O879">
            <v>0</v>
          </cell>
          <cell r="P879">
            <v>0</v>
          </cell>
        </row>
        <row r="880">
          <cell r="G880">
            <v>0</v>
          </cell>
          <cell r="K880">
            <v>0</v>
          </cell>
          <cell r="O880">
            <v>0</v>
          </cell>
          <cell r="P880">
            <v>0</v>
          </cell>
        </row>
        <row r="881">
          <cell r="G881">
            <v>0</v>
          </cell>
          <cell r="K881">
            <v>0</v>
          </cell>
          <cell r="O881">
            <v>0</v>
          </cell>
          <cell r="P881">
            <v>0</v>
          </cell>
        </row>
        <row r="882">
          <cell r="G882">
            <v>0</v>
          </cell>
          <cell r="K882">
            <v>0</v>
          </cell>
          <cell r="O882">
            <v>0</v>
          </cell>
          <cell r="P882">
            <v>0</v>
          </cell>
        </row>
        <row r="883">
          <cell r="G883">
            <v>0</v>
          </cell>
          <cell r="K883">
            <v>0</v>
          </cell>
          <cell r="O883">
            <v>0</v>
          </cell>
          <cell r="P883">
            <v>0</v>
          </cell>
        </row>
        <row r="884">
          <cell r="G884">
            <v>0</v>
          </cell>
          <cell r="K884">
            <v>0</v>
          </cell>
          <cell r="O884">
            <v>0</v>
          </cell>
          <cell r="P884">
            <v>0</v>
          </cell>
        </row>
        <row r="885">
          <cell r="G885">
            <v>0</v>
          </cell>
          <cell r="K885">
            <v>0</v>
          </cell>
          <cell r="O885">
            <v>0</v>
          </cell>
          <cell r="P885">
            <v>0</v>
          </cell>
        </row>
        <row r="886">
          <cell r="G886">
            <v>0</v>
          </cell>
          <cell r="K886">
            <v>0</v>
          </cell>
          <cell r="O886">
            <v>0</v>
          </cell>
          <cell r="P886">
            <v>0</v>
          </cell>
        </row>
        <row r="887">
          <cell r="G887">
            <v>0</v>
          </cell>
          <cell r="K887">
            <v>0</v>
          </cell>
          <cell r="O887">
            <v>0</v>
          </cell>
          <cell r="P887">
            <v>0</v>
          </cell>
        </row>
        <row r="888">
          <cell r="G888">
            <v>0</v>
          </cell>
          <cell r="K888">
            <v>0</v>
          </cell>
          <cell r="O888">
            <v>0</v>
          </cell>
          <cell r="P888">
            <v>0</v>
          </cell>
        </row>
        <row r="889">
          <cell r="G889">
            <v>0</v>
          </cell>
          <cell r="K889">
            <v>0</v>
          </cell>
          <cell r="O889">
            <v>0</v>
          </cell>
          <cell r="P889">
            <v>0</v>
          </cell>
        </row>
        <row r="890">
          <cell r="G890">
            <v>0</v>
          </cell>
          <cell r="K890">
            <v>0</v>
          </cell>
          <cell r="O890">
            <v>0</v>
          </cell>
          <cell r="P890">
            <v>0</v>
          </cell>
        </row>
        <row r="891">
          <cell r="G891">
            <v>0</v>
          </cell>
          <cell r="K891">
            <v>0</v>
          </cell>
          <cell r="O891">
            <v>0</v>
          </cell>
          <cell r="P891">
            <v>0</v>
          </cell>
        </row>
        <row r="892">
          <cell r="G892">
            <v>0</v>
          </cell>
          <cell r="K892">
            <v>0</v>
          </cell>
          <cell r="O892">
            <v>0</v>
          </cell>
          <cell r="P892">
            <v>0</v>
          </cell>
        </row>
        <row r="893">
          <cell r="G893">
            <v>0</v>
          </cell>
          <cell r="K893">
            <v>0</v>
          </cell>
          <cell r="O893">
            <v>0</v>
          </cell>
          <cell r="P893">
            <v>0</v>
          </cell>
        </row>
        <row r="894">
          <cell r="G894">
            <v>0</v>
          </cell>
          <cell r="K894">
            <v>0</v>
          </cell>
          <cell r="O894">
            <v>0</v>
          </cell>
          <cell r="P894">
            <v>0</v>
          </cell>
        </row>
        <row r="895">
          <cell r="G895">
            <v>0</v>
          </cell>
          <cell r="K895">
            <v>0</v>
          </cell>
          <cell r="O895">
            <v>0</v>
          </cell>
          <cell r="P895">
            <v>0</v>
          </cell>
        </row>
        <row r="896">
          <cell r="G896">
            <v>0</v>
          </cell>
          <cell r="K896">
            <v>0</v>
          </cell>
          <cell r="O896">
            <v>0</v>
          </cell>
          <cell r="P896">
            <v>0</v>
          </cell>
        </row>
        <row r="897">
          <cell r="G897">
            <v>0</v>
          </cell>
          <cell r="K897">
            <v>0</v>
          </cell>
          <cell r="O897">
            <v>0</v>
          </cell>
          <cell r="P897">
            <v>0</v>
          </cell>
        </row>
        <row r="898">
          <cell r="G898">
            <v>0</v>
          </cell>
          <cell r="K898">
            <v>0</v>
          </cell>
          <cell r="O898">
            <v>0</v>
          </cell>
          <cell r="P898">
            <v>0</v>
          </cell>
        </row>
        <row r="899">
          <cell r="G899">
            <v>0</v>
          </cell>
          <cell r="K899">
            <v>0</v>
          </cell>
          <cell r="O899">
            <v>0</v>
          </cell>
          <cell r="P899">
            <v>0</v>
          </cell>
        </row>
        <row r="900">
          <cell r="G900">
            <v>0</v>
          </cell>
          <cell r="K900">
            <v>0</v>
          </cell>
          <cell r="O900">
            <v>0</v>
          </cell>
          <cell r="P900">
            <v>0</v>
          </cell>
        </row>
        <row r="901">
          <cell r="G901">
            <v>0</v>
          </cell>
          <cell r="K901">
            <v>0</v>
          </cell>
          <cell r="O901">
            <v>0</v>
          </cell>
          <cell r="P901">
            <v>0</v>
          </cell>
        </row>
        <row r="902">
          <cell r="G902">
            <v>0</v>
          </cell>
          <cell r="K902">
            <v>0</v>
          </cell>
          <cell r="O902">
            <v>0</v>
          </cell>
          <cell r="P902">
            <v>0</v>
          </cell>
        </row>
        <row r="903">
          <cell r="G903">
            <v>0</v>
          </cell>
          <cell r="K903">
            <v>0</v>
          </cell>
          <cell r="O903">
            <v>0</v>
          </cell>
          <cell r="P903">
            <v>0</v>
          </cell>
        </row>
        <row r="904">
          <cell r="G904">
            <v>0</v>
          </cell>
          <cell r="K904">
            <v>0</v>
          </cell>
          <cell r="O904">
            <v>0</v>
          </cell>
          <cell r="P904">
            <v>0</v>
          </cell>
        </row>
        <row r="905">
          <cell r="G905">
            <v>0</v>
          </cell>
          <cell r="K905">
            <v>0</v>
          </cell>
          <cell r="O905">
            <v>0</v>
          </cell>
          <cell r="P905">
            <v>0</v>
          </cell>
        </row>
        <row r="906">
          <cell r="G906">
            <v>0</v>
          </cell>
          <cell r="K906">
            <v>0</v>
          </cell>
          <cell r="O906">
            <v>0</v>
          </cell>
          <cell r="P906">
            <v>0</v>
          </cell>
        </row>
        <row r="907">
          <cell r="G907">
            <v>0</v>
          </cell>
          <cell r="K907">
            <v>0</v>
          </cell>
          <cell r="O907">
            <v>0</v>
          </cell>
          <cell r="P907">
            <v>0</v>
          </cell>
        </row>
        <row r="908">
          <cell r="G908">
            <v>0</v>
          </cell>
          <cell r="K908">
            <v>0</v>
          </cell>
          <cell r="O908">
            <v>0</v>
          </cell>
          <cell r="P908">
            <v>0</v>
          </cell>
        </row>
        <row r="909">
          <cell r="G909">
            <v>0</v>
          </cell>
          <cell r="K909">
            <v>0</v>
          </cell>
          <cell r="O909">
            <v>0</v>
          </cell>
          <cell r="P909">
            <v>0</v>
          </cell>
        </row>
        <row r="910">
          <cell r="G910">
            <v>0</v>
          </cell>
          <cell r="K910">
            <v>0</v>
          </cell>
          <cell r="O910">
            <v>0</v>
          </cell>
          <cell r="P910">
            <v>0</v>
          </cell>
        </row>
        <row r="911">
          <cell r="G911">
            <v>0</v>
          </cell>
          <cell r="K911">
            <v>0</v>
          </cell>
          <cell r="O911">
            <v>0</v>
          </cell>
          <cell r="P911">
            <v>0</v>
          </cell>
        </row>
        <row r="912">
          <cell r="G912">
            <v>0</v>
          </cell>
          <cell r="K912">
            <v>0</v>
          </cell>
          <cell r="O912">
            <v>0</v>
          </cell>
          <cell r="P912">
            <v>0</v>
          </cell>
        </row>
        <row r="913">
          <cell r="G913">
            <v>0</v>
          </cell>
          <cell r="K913">
            <v>0</v>
          </cell>
          <cell r="O913">
            <v>0</v>
          </cell>
          <cell r="P913">
            <v>0</v>
          </cell>
        </row>
        <row r="914">
          <cell r="G914">
            <v>0</v>
          </cell>
          <cell r="K914">
            <v>0</v>
          </cell>
          <cell r="O914">
            <v>0</v>
          </cell>
          <cell r="P914">
            <v>0</v>
          </cell>
        </row>
        <row r="915">
          <cell r="G915">
            <v>0</v>
          </cell>
          <cell r="K915">
            <v>0</v>
          </cell>
          <cell r="O915">
            <v>0</v>
          </cell>
          <cell r="P915">
            <v>0</v>
          </cell>
        </row>
        <row r="916">
          <cell r="G916">
            <v>0</v>
          </cell>
          <cell r="K916">
            <v>0</v>
          </cell>
          <cell r="O916">
            <v>0</v>
          </cell>
          <cell r="P916">
            <v>0</v>
          </cell>
        </row>
        <row r="917">
          <cell r="G917">
            <v>0</v>
          </cell>
          <cell r="K917">
            <v>0</v>
          </cell>
          <cell r="O917">
            <v>0</v>
          </cell>
          <cell r="P917">
            <v>0</v>
          </cell>
        </row>
        <row r="918">
          <cell r="G918">
            <v>0</v>
          </cell>
          <cell r="K918">
            <v>0</v>
          </cell>
          <cell r="O918">
            <v>0</v>
          </cell>
          <cell r="P918">
            <v>0</v>
          </cell>
        </row>
        <row r="919">
          <cell r="G919">
            <v>0</v>
          </cell>
          <cell r="K919">
            <v>0</v>
          </cell>
          <cell r="O919">
            <v>0</v>
          </cell>
          <cell r="P919">
            <v>0</v>
          </cell>
        </row>
        <row r="920">
          <cell r="G920">
            <v>0</v>
          </cell>
          <cell r="K920">
            <v>0</v>
          </cell>
          <cell r="O920">
            <v>0</v>
          </cell>
          <cell r="P920">
            <v>0</v>
          </cell>
        </row>
        <row r="921">
          <cell r="G921">
            <v>0</v>
          </cell>
          <cell r="K921">
            <v>0</v>
          </cell>
          <cell r="O921">
            <v>0</v>
          </cell>
          <cell r="P921">
            <v>0</v>
          </cell>
        </row>
        <row r="922">
          <cell r="G922">
            <v>0</v>
          </cell>
          <cell r="K922">
            <v>0</v>
          </cell>
          <cell r="O922">
            <v>0</v>
          </cell>
          <cell r="P922">
            <v>0</v>
          </cell>
        </row>
        <row r="923">
          <cell r="G923">
            <v>0</v>
          </cell>
          <cell r="K923">
            <v>0</v>
          </cell>
          <cell r="O923">
            <v>0</v>
          </cell>
          <cell r="P923">
            <v>0</v>
          </cell>
        </row>
        <row r="924">
          <cell r="G924">
            <v>0</v>
          </cell>
          <cell r="K924">
            <v>0</v>
          </cell>
          <cell r="O924">
            <v>0</v>
          </cell>
          <cell r="P924">
            <v>0</v>
          </cell>
        </row>
        <row r="925">
          <cell r="G925">
            <v>0</v>
          </cell>
          <cell r="K925">
            <v>0</v>
          </cell>
          <cell r="O925">
            <v>0</v>
          </cell>
          <cell r="P925">
            <v>0</v>
          </cell>
        </row>
        <row r="926">
          <cell r="G926">
            <v>0</v>
          </cell>
          <cell r="K926">
            <v>0</v>
          </cell>
          <cell r="O926">
            <v>0</v>
          </cell>
          <cell r="P926">
            <v>0</v>
          </cell>
        </row>
        <row r="927">
          <cell r="G927">
            <v>0</v>
          </cell>
          <cell r="K927">
            <v>0</v>
          </cell>
          <cell r="O927">
            <v>0</v>
          </cell>
          <cell r="P927">
            <v>0</v>
          </cell>
        </row>
        <row r="928">
          <cell r="G928">
            <v>0</v>
          </cell>
          <cell r="K928">
            <v>0</v>
          </cell>
          <cell r="O928">
            <v>0</v>
          </cell>
          <cell r="P928">
            <v>0</v>
          </cell>
        </row>
        <row r="929">
          <cell r="G929">
            <v>0</v>
          </cell>
          <cell r="K929">
            <v>0</v>
          </cell>
          <cell r="O929">
            <v>0</v>
          </cell>
          <cell r="P929">
            <v>0</v>
          </cell>
        </row>
        <row r="930">
          <cell r="G930">
            <v>0</v>
          </cell>
          <cell r="K930">
            <v>0</v>
          </cell>
          <cell r="O930">
            <v>0</v>
          </cell>
          <cell r="P930">
            <v>0</v>
          </cell>
        </row>
        <row r="931">
          <cell r="G931">
            <v>0</v>
          </cell>
          <cell r="K931">
            <v>0</v>
          </cell>
          <cell r="O931">
            <v>0</v>
          </cell>
          <cell r="P931">
            <v>0</v>
          </cell>
        </row>
        <row r="932">
          <cell r="G932">
            <v>0</v>
          </cell>
          <cell r="K932">
            <v>0</v>
          </cell>
          <cell r="O932">
            <v>0</v>
          </cell>
          <cell r="P932">
            <v>0</v>
          </cell>
        </row>
        <row r="933">
          <cell r="G933">
            <v>0</v>
          </cell>
          <cell r="K933">
            <v>0</v>
          </cell>
          <cell r="O933">
            <v>0</v>
          </cell>
          <cell r="P933">
            <v>0</v>
          </cell>
        </row>
        <row r="934">
          <cell r="G934">
            <v>0</v>
          </cell>
          <cell r="K934">
            <v>0</v>
          </cell>
          <cell r="O934">
            <v>0</v>
          </cell>
          <cell r="P934">
            <v>0</v>
          </cell>
        </row>
        <row r="935">
          <cell r="G935">
            <v>0</v>
          </cell>
          <cell r="K935">
            <v>0</v>
          </cell>
          <cell r="O935">
            <v>0</v>
          </cell>
          <cell r="P935">
            <v>0</v>
          </cell>
        </row>
        <row r="936">
          <cell r="G936">
            <v>0</v>
          </cell>
          <cell r="K936">
            <v>0</v>
          </cell>
          <cell r="O936">
            <v>0</v>
          </cell>
          <cell r="P936">
            <v>0</v>
          </cell>
        </row>
        <row r="937">
          <cell r="G937">
            <v>0</v>
          </cell>
          <cell r="K937">
            <v>0</v>
          </cell>
          <cell r="O937">
            <v>0</v>
          </cell>
          <cell r="P937">
            <v>0</v>
          </cell>
        </row>
        <row r="938">
          <cell r="G938">
            <v>0</v>
          </cell>
          <cell r="K938">
            <v>0</v>
          </cell>
          <cell r="O938">
            <v>0</v>
          </cell>
          <cell r="P938">
            <v>0</v>
          </cell>
        </row>
        <row r="939">
          <cell r="G939">
            <v>0</v>
          </cell>
          <cell r="K939">
            <v>0</v>
          </cell>
          <cell r="O939">
            <v>0</v>
          </cell>
          <cell r="P939">
            <v>0</v>
          </cell>
        </row>
        <row r="940">
          <cell r="G940">
            <v>0</v>
          </cell>
          <cell r="K940">
            <v>0</v>
          </cell>
          <cell r="O940">
            <v>0</v>
          </cell>
          <cell r="P940">
            <v>0</v>
          </cell>
        </row>
        <row r="941">
          <cell r="G941">
            <v>0</v>
          </cell>
          <cell r="K941">
            <v>0</v>
          </cell>
          <cell r="O941">
            <v>0</v>
          </cell>
          <cell r="P941">
            <v>0</v>
          </cell>
        </row>
        <row r="942">
          <cell r="G942">
            <v>0</v>
          </cell>
          <cell r="K942">
            <v>0</v>
          </cell>
          <cell r="O942">
            <v>0</v>
          </cell>
          <cell r="P942">
            <v>0</v>
          </cell>
        </row>
        <row r="943">
          <cell r="G943">
            <v>0</v>
          </cell>
          <cell r="K943">
            <v>0</v>
          </cell>
          <cell r="O943">
            <v>0</v>
          </cell>
          <cell r="P943">
            <v>0</v>
          </cell>
        </row>
        <row r="944">
          <cell r="G944">
            <v>0</v>
          </cell>
          <cell r="K944">
            <v>0</v>
          </cell>
          <cell r="O944">
            <v>0</v>
          </cell>
          <cell r="P944">
            <v>0</v>
          </cell>
        </row>
        <row r="945">
          <cell r="G945">
            <v>0</v>
          </cell>
          <cell r="K945">
            <v>0</v>
          </cell>
          <cell r="O945">
            <v>0</v>
          </cell>
          <cell r="P945">
            <v>0</v>
          </cell>
        </row>
        <row r="946">
          <cell r="G946">
            <v>0</v>
          </cell>
          <cell r="K946">
            <v>0</v>
          </cell>
          <cell r="O946">
            <v>0</v>
          </cell>
          <cell r="P946">
            <v>0</v>
          </cell>
        </row>
        <row r="947">
          <cell r="G947">
            <v>0</v>
          </cell>
          <cell r="K947">
            <v>0</v>
          </cell>
          <cell r="O947">
            <v>0</v>
          </cell>
          <cell r="P947">
            <v>0</v>
          </cell>
        </row>
        <row r="948">
          <cell r="G948">
            <v>0</v>
          </cell>
          <cell r="K948">
            <v>0</v>
          </cell>
          <cell r="O948">
            <v>0</v>
          </cell>
          <cell r="P948">
            <v>0</v>
          </cell>
        </row>
        <row r="949">
          <cell r="G949">
            <v>0</v>
          </cell>
          <cell r="K949">
            <v>0</v>
          </cell>
          <cell r="O949">
            <v>0</v>
          </cell>
          <cell r="P949">
            <v>0</v>
          </cell>
        </row>
        <row r="950">
          <cell r="G950">
            <v>0</v>
          </cell>
          <cell r="K950">
            <v>0</v>
          </cell>
          <cell r="O950">
            <v>0</v>
          </cell>
          <cell r="P950">
            <v>0</v>
          </cell>
        </row>
        <row r="951">
          <cell r="G951">
            <v>0</v>
          </cell>
          <cell r="K951">
            <v>0</v>
          </cell>
          <cell r="O951">
            <v>0</v>
          </cell>
          <cell r="P951">
            <v>0</v>
          </cell>
        </row>
        <row r="952">
          <cell r="G952">
            <v>0</v>
          </cell>
          <cell r="K952">
            <v>0</v>
          </cell>
          <cell r="O952">
            <v>0</v>
          </cell>
          <cell r="P952">
            <v>0</v>
          </cell>
        </row>
        <row r="953">
          <cell r="G953">
            <v>0</v>
          </cell>
          <cell r="K953">
            <v>0</v>
          </cell>
          <cell r="O953">
            <v>0</v>
          </cell>
          <cell r="P953">
            <v>0</v>
          </cell>
        </row>
        <row r="954">
          <cell r="G954">
            <v>0</v>
          </cell>
          <cell r="K954">
            <v>0</v>
          </cell>
          <cell r="O954">
            <v>0</v>
          </cell>
          <cell r="P954">
            <v>0</v>
          </cell>
        </row>
        <row r="955">
          <cell r="G955">
            <v>0</v>
          </cell>
          <cell r="K955">
            <v>0</v>
          </cell>
          <cell r="O955">
            <v>0</v>
          </cell>
          <cell r="P955">
            <v>0</v>
          </cell>
        </row>
        <row r="956">
          <cell r="G956">
            <v>0</v>
          </cell>
          <cell r="K956">
            <v>0</v>
          </cell>
          <cell r="O956">
            <v>0</v>
          </cell>
          <cell r="P956">
            <v>0</v>
          </cell>
        </row>
        <row r="957">
          <cell r="G957">
            <v>0</v>
          </cell>
          <cell r="K957">
            <v>0</v>
          </cell>
          <cell r="O957">
            <v>0</v>
          </cell>
          <cell r="P957">
            <v>0</v>
          </cell>
        </row>
        <row r="958">
          <cell r="G958">
            <v>0</v>
          </cell>
          <cell r="K958">
            <v>0</v>
          </cell>
          <cell r="O958">
            <v>0</v>
          </cell>
          <cell r="P958">
            <v>0</v>
          </cell>
        </row>
        <row r="959">
          <cell r="G959">
            <v>0</v>
          </cell>
          <cell r="K959">
            <v>0</v>
          </cell>
          <cell r="O959">
            <v>0</v>
          </cell>
          <cell r="P959">
            <v>0</v>
          </cell>
        </row>
        <row r="960">
          <cell r="G960">
            <v>0</v>
          </cell>
          <cell r="K960">
            <v>0</v>
          </cell>
          <cell r="O960">
            <v>0</v>
          </cell>
          <cell r="P960">
            <v>0</v>
          </cell>
        </row>
        <row r="961">
          <cell r="G961">
            <v>0</v>
          </cell>
          <cell r="K961">
            <v>0</v>
          </cell>
          <cell r="O961">
            <v>0</v>
          </cell>
          <cell r="P961">
            <v>0</v>
          </cell>
        </row>
        <row r="962">
          <cell r="G962">
            <v>0</v>
          </cell>
          <cell r="K962">
            <v>0</v>
          </cell>
          <cell r="O962">
            <v>0</v>
          </cell>
          <cell r="P962">
            <v>0</v>
          </cell>
        </row>
        <row r="963">
          <cell r="G963">
            <v>0</v>
          </cell>
          <cell r="K963">
            <v>0</v>
          </cell>
          <cell r="O963">
            <v>0</v>
          </cell>
          <cell r="P963">
            <v>0</v>
          </cell>
        </row>
        <row r="964">
          <cell r="G964">
            <v>0</v>
          </cell>
          <cell r="K964">
            <v>0</v>
          </cell>
          <cell r="O964">
            <v>0</v>
          </cell>
          <cell r="P964">
            <v>0</v>
          </cell>
        </row>
        <row r="965">
          <cell r="G965">
            <v>0</v>
          </cell>
          <cell r="K965">
            <v>0</v>
          </cell>
          <cell r="O965">
            <v>0</v>
          </cell>
          <cell r="P965">
            <v>0</v>
          </cell>
        </row>
        <row r="966">
          <cell r="G966">
            <v>0</v>
          </cell>
          <cell r="K966">
            <v>0</v>
          </cell>
          <cell r="O966">
            <v>0</v>
          </cell>
          <cell r="P966">
            <v>0</v>
          </cell>
        </row>
        <row r="967">
          <cell r="G967">
            <v>0</v>
          </cell>
          <cell r="K967">
            <v>0</v>
          </cell>
          <cell r="O967">
            <v>0</v>
          </cell>
          <cell r="P967">
            <v>0</v>
          </cell>
        </row>
        <row r="968">
          <cell r="G968">
            <v>0</v>
          </cell>
          <cell r="K968">
            <v>0</v>
          </cell>
          <cell r="O968">
            <v>0</v>
          </cell>
          <cell r="P968">
            <v>0</v>
          </cell>
        </row>
        <row r="969">
          <cell r="G969">
            <v>0</v>
          </cell>
          <cell r="K969">
            <v>0</v>
          </cell>
          <cell r="O969">
            <v>0</v>
          </cell>
          <cell r="P969">
            <v>0</v>
          </cell>
        </row>
        <row r="970">
          <cell r="G970">
            <v>0</v>
          </cell>
          <cell r="K970">
            <v>0</v>
          </cell>
          <cell r="O970">
            <v>0</v>
          </cell>
          <cell r="P970">
            <v>0</v>
          </cell>
        </row>
        <row r="971">
          <cell r="G971">
            <v>0</v>
          </cell>
          <cell r="K971">
            <v>0</v>
          </cell>
          <cell r="O971">
            <v>0</v>
          </cell>
          <cell r="P971">
            <v>0</v>
          </cell>
        </row>
        <row r="972">
          <cell r="G972">
            <v>0</v>
          </cell>
          <cell r="K972">
            <v>0</v>
          </cell>
          <cell r="O972">
            <v>0</v>
          </cell>
          <cell r="P972">
            <v>0</v>
          </cell>
        </row>
        <row r="973">
          <cell r="G973">
            <v>0</v>
          </cell>
          <cell r="K973">
            <v>0</v>
          </cell>
          <cell r="O973">
            <v>0</v>
          </cell>
          <cell r="P973">
            <v>0</v>
          </cell>
        </row>
        <row r="974">
          <cell r="G974">
            <v>0</v>
          </cell>
          <cell r="K974">
            <v>0</v>
          </cell>
          <cell r="O974">
            <v>0</v>
          </cell>
          <cell r="P974">
            <v>0</v>
          </cell>
        </row>
        <row r="975">
          <cell r="G975">
            <v>0</v>
          </cell>
          <cell r="K975">
            <v>0</v>
          </cell>
          <cell r="O975">
            <v>0</v>
          </cell>
          <cell r="P975">
            <v>0</v>
          </cell>
        </row>
        <row r="976">
          <cell r="G976">
            <v>0</v>
          </cell>
          <cell r="K976">
            <v>0</v>
          </cell>
          <cell r="O976">
            <v>0</v>
          </cell>
          <cell r="P976">
            <v>0</v>
          </cell>
        </row>
        <row r="977">
          <cell r="G977">
            <v>0</v>
          </cell>
          <cell r="K977">
            <v>0</v>
          </cell>
          <cell r="O977">
            <v>0</v>
          </cell>
          <cell r="P977">
            <v>0</v>
          </cell>
        </row>
        <row r="978">
          <cell r="G978">
            <v>0</v>
          </cell>
          <cell r="K978">
            <v>0</v>
          </cell>
          <cell r="O978">
            <v>0</v>
          </cell>
          <cell r="P978">
            <v>0</v>
          </cell>
        </row>
        <row r="979">
          <cell r="G979">
            <v>0</v>
          </cell>
          <cell r="K979">
            <v>0</v>
          </cell>
          <cell r="O979">
            <v>0</v>
          </cell>
          <cell r="P979">
            <v>0</v>
          </cell>
        </row>
        <row r="980">
          <cell r="G980">
            <v>0</v>
          </cell>
          <cell r="K980">
            <v>0</v>
          </cell>
          <cell r="O980">
            <v>0</v>
          </cell>
          <cell r="P980">
            <v>0</v>
          </cell>
        </row>
        <row r="981">
          <cell r="G981">
            <v>0</v>
          </cell>
          <cell r="K981">
            <v>0</v>
          </cell>
          <cell r="O981">
            <v>0</v>
          </cell>
          <cell r="P981">
            <v>0</v>
          </cell>
        </row>
        <row r="982">
          <cell r="G982">
            <v>0</v>
          </cell>
          <cell r="K982">
            <v>0</v>
          </cell>
          <cell r="O982">
            <v>0</v>
          </cell>
          <cell r="P982">
            <v>0</v>
          </cell>
        </row>
        <row r="983">
          <cell r="G983">
            <v>0</v>
          </cell>
          <cell r="K983">
            <v>0</v>
          </cell>
          <cell r="O983">
            <v>0</v>
          </cell>
          <cell r="P983">
            <v>0</v>
          </cell>
        </row>
        <row r="984">
          <cell r="G984">
            <v>0</v>
          </cell>
          <cell r="K984">
            <v>0</v>
          </cell>
          <cell r="O984">
            <v>0</v>
          </cell>
          <cell r="P984">
            <v>0</v>
          </cell>
        </row>
        <row r="985">
          <cell r="G985">
            <v>0</v>
          </cell>
          <cell r="K985">
            <v>0</v>
          </cell>
          <cell r="O985">
            <v>0</v>
          </cell>
          <cell r="P985">
            <v>0</v>
          </cell>
        </row>
        <row r="986">
          <cell r="G986">
            <v>0</v>
          </cell>
          <cell r="K986">
            <v>0</v>
          </cell>
          <cell r="O986">
            <v>0</v>
          </cell>
          <cell r="P986">
            <v>0</v>
          </cell>
        </row>
        <row r="987">
          <cell r="G987">
            <v>0</v>
          </cell>
          <cell r="K987">
            <v>0</v>
          </cell>
          <cell r="O987">
            <v>0</v>
          </cell>
          <cell r="P987">
            <v>0</v>
          </cell>
        </row>
        <row r="988">
          <cell r="G988">
            <v>0</v>
          </cell>
          <cell r="K988">
            <v>0</v>
          </cell>
          <cell r="O988">
            <v>0</v>
          </cell>
          <cell r="P988">
            <v>0</v>
          </cell>
        </row>
        <row r="989">
          <cell r="G989">
            <v>0</v>
          </cell>
          <cell r="K989">
            <v>0</v>
          </cell>
          <cell r="O989">
            <v>0</v>
          </cell>
          <cell r="P989">
            <v>0</v>
          </cell>
        </row>
        <row r="990">
          <cell r="G990">
            <v>0</v>
          </cell>
          <cell r="K990">
            <v>0</v>
          </cell>
          <cell r="O990">
            <v>0</v>
          </cell>
          <cell r="P990">
            <v>0</v>
          </cell>
        </row>
        <row r="991">
          <cell r="G991">
            <v>0</v>
          </cell>
          <cell r="K991">
            <v>0</v>
          </cell>
          <cell r="O991">
            <v>0</v>
          </cell>
          <cell r="P991">
            <v>0</v>
          </cell>
        </row>
        <row r="992">
          <cell r="G992">
            <v>0</v>
          </cell>
          <cell r="K992">
            <v>0</v>
          </cell>
          <cell r="O992">
            <v>0</v>
          </cell>
          <cell r="P992">
            <v>0</v>
          </cell>
        </row>
        <row r="993">
          <cell r="G993">
            <v>0</v>
          </cell>
          <cell r="K993">
            <v>0</v>
          </cell>
          <cell r="O993">
            <v>0</v>
          </cell>
          <cell r="P993">
            <v>0</v>
          </cell>
        </row>
        <row r="994">
          <cell r="G994">
            <v>0</v>
          </cell>
          <cell r="K994">
            <v>0</v>
          </cell>
          <cell r="O994">
            <v>0</v>
          </cell>
          <cell r="P994">
            <v>0</v>
          </cell>
        </row>
        <row r="995">
          <cell r="G995">
            <v>0</v>
          </cell>
          <cell r="K995">
            <v>0</v>
          </cell>
          <cell r="O995">
            <v>0</v>
          </cell>
          <cell r="P995">
            <v>0</v>
          </cell>
        </row>
        <row r="996">
          <cell r="G996">
            <v>0</v>
          </cell>
          <cell r="K996">
            <v>0</v>
          </cell>
          <cell r="O996">
            <v>0</v>
          </cell>
          <cell r="P996">
            <v>0</v>
          </cell>
        </row>
        <row r="997">
          <cell r="G997">
            <v>0</v>
          </cell>
          <cell r="K997">
            <v>0</v>
          </cell>
          <cell r="O997">
            <v>0</v>
          </cell>
          <cell r="P997">
            <v>0</v>
          </cell>
        </row>
        <row r="998">
          <cell r="G998">
            <v>0</v>
          </cell>
          <cell r="K998">
            <v>0</v>
          </cell>
          <cell r="O998">
            <v>0</v>
          </cell>
          <cell r="P998">
            <v>0</v>
          </cell>
        </row>
        <row r="999">
          <cell r="G999">
            <v>0</v>
          </cell>
          <cell r="K999">
            <v>0</v>
          </cell>
          <cell r="O999">
            <v>0</v>
          </cell>
          <cell r="P999">
            <v>0</v>
          </cell>
        </row>
        <row r="1000">
          <cell r="G1000">
            <v>0</v>
          </cell>
          <cell r="K1000">
            <v>0</v>
          </cell>
          <cell r="O1000">
            <v>0</v>
          </cell>
          <cell r="P1000">
            <v>0</v>
          </cell>
        </row>
        <row r="1001">
          <cell r="G1001">
            <v>0</v>
          </cell>
          <cell r="K1001">
            <v>0</v>
          </cell>
          <cell r="O1001">
            <v>0</v>
          </cell>
          <cell r="P1001">
            <v>0</v>
          </cell>
        </row>
        <row r="1002">
          <cell r="G1002">
            <v>0</v>
          </cell>
          <cell r="K1002">
            <v>0</v>
          </cell>
          <cell r="O1002">
            <v>0</v>
          </cell>
          <cell r="P1002">
            <v>0</v>
          </cell>
        </row>
        <row r="1003">
          <cell r="G1003">
            <v>0</v>
          </cell>
          <cell r="K1003">
            <v>0</v>
          </cell>
          <cell r="O1003">
            <v>0</v>
          </cell>
          <cell r="P1003">
            <v>0</v>
          </cell>
        </row>
        <row r="1004">
          <cell r="G1004">
            <v>0</v>
          </cell>
          <cell r="K1004">
            <v>0</v>
          </cell>
          <cell r="O1004">
            <v>0</v>
          </cell>
          <cell r="P1004">
            <v>0</v>
          </cell>
        </row>
        <row r="1005">
          <cell r="G1005">
            <v>0</v>
          </cell>
          <cell r="K1005">
            <v>0</v>
          </cell>
          <cell r="O1005">
            <v>0</v>
          </cell>
          <cell r="P1005">
            <v>0</v>
          </cell>
        </row>
        <row r="1006">
          <cell r="G1006">
            <v>0</v>
          </cell>
          <cell r="K1006">
            <v>0</v>
          </cell>
          <cell r="O1006">
            <v>0</v>
          </cell>
          <cell r="P1006">
            <v>0</v>
          </cell>
        </row>
        <row r="1007">
          <cell r="G1007">
            <v>0</v>
          </cell>
          <cell r="K1007">
            <v>0</v>
          </cell>
          <cell r="O1007">
            <v>0</v>
          </cell>
          <cell r="P1007">
            <v>0</v>
          </cell>
        </row>
        <row r="1008">
          <cell r="G1008">
            <v>0</v>
          </cell>
          <cell r="K1008">
            <v>0</v>
          </cell>
          <cell r="O1008">
            <v>0</v>
          </cell>
          <cell r="P1008">
            <v>0</v>
          </cell>
        </row>
        <row r="1009">
          <cell r="G1009">
            <v>0</v>
          </cell>
          <cell r="K1009">
            <v>0</v>
          </cell>
          <cell r="O1009">
            <v>0</v>
          </cell>
          <cell r="P1009">
            <v>0</v>
          </cell>
        </row>
        <row r="1010">
          <cell r="G1010">
            <v>0</v>
          </cell>
          <cell r="K1010">
            <v>0</v>
          </cell>
          <cell r="O1010">
            <v>0</v>
          </cell>
          <cell r="P1010">
            <v>0</v>
          </cell>
        </row>
        <row r="1011">
          <cell r="G1011">
            <v>0</v>
          </cell>
          <cell r="K1011">
            <v>0</v>
          </cell>
          <cell r="O1011">
            <v>0</v>
          </cell>
          <cell r="P1011">
            <v>0</v>
          </cell>
        </row>
        <row r="1012">
          <cell r="G1012">
            <v>0</v>
          </cell>
          <cell r="K1012">
            <v>0</v>
          </cell>
          <cell r="O1012">
            <v>0</v>
          </cell>
          <cell r="P1012">
            <v>0</v>
          </cell>
        </row>
        <row r="1013">
          <cell r="G1013">
            <v>0</v>
          </cell>
          <cell r="K1013">
            <v>0</v>
          </cell>
          <cell r="O1013">
            <v>0</v>
          </cell>
          <cell r="P1013">
            <v>0</v>
          </cell>
        </row>
        <row r="1014">
          <cell r="G1014">
            <v>0</v>
          </cell>
          <cell r="K1014">
            <v>0</v>
          </cell>
          <cell r="O1014">
            <v>0</v>
          </cell>
          <cell r="P1014">
            <v>0</v>
          </cell>
        </row>
        <row r="1015">
          <cell r="G1015">
            <v>0</v>
          </cell>
          <cell r="K1015">
            <v>0</v>
          </cell>
          <cell r="O1015">
            <v>0</v>
          </cell>
          <cell r="P1015">
            <v>0</v>
          </cell>
        </row>
        <row r="1016">
          <cell r="G1016">
            <v>0</v>
          </cell>
          <cell r="K1016">
            <v>0</v>
          </cell>
          <cell r="O1016">
            <v>0</v>
          </cell>
          <cell r="P1016">
            <v>0</v>
          </cell>
        </row>
        <row r="1017">
          <cell r="G1017">
            <v>0</v>
          </cell>
          <cell r="K1017">
            <v>0</v>
          </cell>
          <cell r="O1017">
            <v>0</v>
          </cell>
          <cell r="P1017">
            <v>0</v>
          </cell>
        </row>
        <row r="1018">
          <cell r="G1018">
            <v>0</v>
          </cell>
          <cell r="K1018">
            <v>0</v>
          </cell>
          <cell r="O1018">
            <v>0</v>
          </cell>
          <cell r="P1018">
            <v>0</v>
          </cell>
        </row>
        <row r="1019">
          <cell r="G1019">
            <v>0</v>
          </cell>
          <cell r="K1019">
            <v>0</v>
          </cell>
          <cell r="O1019">
            <v>0</v>
          </cell>
          <cell r="P1019">
            <v>0</v>
          </cell>
        </row>
        <row r="1020">
          <cell r="G1020">
            <v>0</v>
          </cell>
          <cell r="K1020">
            <v>0</v>
          </cell>
          <cell r="O1020">
            <v>0</v>
          </cell>
          <cell r="P1020">
            <v>0</v>
          </cell>
        </row>
        <row r="1021">
          <cell r="G1021">
            <v>0</v>
          </cell>
          <cell r="K1021">
            <v>0</v>
          </cell>
          <cell r="O1021">
            <v>0</v>
          </cell>
          <cell r="P1021">
            <v>0</v>
          </cell>
        </row>
        <row r="1022">
          <cell r="G1022">
            <v>0</v>
          </cell>
          <cell r="K1022">
            <v>0</v>
          </cell>
          <cell r="O1022">
            <v>0</v>
          </cell>
          <cell r="P1022">
            <v>0</v>
          </cell>
        </row>
        <row r="1023">
          <cell r="G1023">
            <v>0</v>
          </cell>
          <cell r="K1023">
            <v>0</v>
          </cell>
          <cell r="O1023">
            <v>0</v>
          </cell>
          <cell r="P1023">
            <v>0</v>
          </cell>
        </row>
        <row r="1024">
          <cell r="G1024">
            <v>0</v>
          </cell>
          <cell r="K1024">
            <v>0</v>
          </cell>
          <cell r="O1024">
            <v>0</v>
          </cell>
          <cell r="P1024">
            <v>0</v>
          </cell>
        </row>
        <row r="1025">
          <cell r="G1025">
            <v>0</v>
          </cell>
          <cell r="K1025">
            <v>0</v>
          </cell>
          <cell r="O1025">
            <v>0</v>
          </cell>
          <cell r="P1025">
            <v>0</v>
          </cell>
        </row>
        <row r="1026">
          <cell r="G1026">
            <v>0</v>
          </cell>
          <cell r="K1026">
            <v>0</v>
          </cell>
          <cell r="O1026">
            <v>0</v>
          </cell>
          <cell r="P1026">
            <v>0</v>
          </cell>
        </row>
        <row r="1027">
          <cell r="G1027">
            <v>0</v>
          </cell>
          <cell r="K1027">
            <v>0</v>
          </cell>
          <cell r="O1027">
            <v>0</v>
          </cell>
          <cell r="P1027">
            <v>0</v>
          </cell>
        </row>
        <row r="1028">
          <cell r="G1028">
            <v>0</v>
          </cell>
          <cell r="K1028">
            <v>0</v>
          </cell>
          <cell r="O1028">
            <v>0</v>
          </cell>
          <cell r="P1028">
            <v>0</v>
          </cell>
        </row>
        <row r="1029">
          <cell r="G1029">
            <v>0</v>
          </cell>
          <cell r="K1029">
            <v>0</v>
          </cell>
          <cell r="O1029">
            <v>0</v>
          </cell>
          <cell r="P1029">
            <v>0</v>
          </cell>
        </row>
        <row r="1030">
          <cell r="G1030">
            <v>0</v>
          </cell>
          <cell r="K1030">
            <v>0</v>
          </cell>
          <cell r="O1030">
            <v>0</v>
          </cell>
          <cell r="P1030">
            <v>0</v>
          </cell>
        </row>
        <row r="1031">
          <cell r="G1031">
            <v>0</v>
          </cell>
          <cell r="K1031">
            <v>0</v>
          </cell>
          <cell r="O1031">
            <v>0</v>
          </cell>
          <cell r="P1031">
            <v>0</v>
          </cell>
        </row>
        <row r="1032">
          <cell r="G1032">
            <v>0</v>
          </cell>
          <cell r="K1032">
            <v>0</v>
          </cell>
          <cell r="O1032">
            <v>0</v>
          </cell>
          <cell r="P1032">
            <v>0</v>
          </cell>
        </row>
        <row r="1033">
          <cell r="G1033">
            <v>0</v>
          </cell>
          <cell r="K1033">
            <v>0</v>
          </cell>
          <cell r="O1033">
            <v>0</v>
          </cell>
          <cell r="P1033">
            <v>0</v>
          </cell>
        </row>
        <row r="1034">
          <cell r="G1034">
            <v>0</v>
          </cell>
          <cell r="K1034">
            <v>0</v>
          </cell>
          <cell r="O1034">
            <v>0</v>
          </cell>
          <cell r="P1034">
            <v>0</v>
          </cell>
        </row>
        <row r="1035">
          <cell r="G1035">
            <v>0</v>
          </cell>
          <cell r="K1035">
            <v>0</v>
          </cell>
          <cell r="O1035">
            <v>0</v>
          </cell>
          <cell r="P1035">
            <v>0</v>
          </cell>
        </row>
        <row r="1036">
          <cell r="G1036">
            <v>0</v>
          </cell>
          <cell r="K1036">
            <v>0</v>
          </cell>
          <cell r="O1036">
            <v>0</v>
          </cell>
          <cell r="P1036">
            <v>0</v>
          </cell>
        </row>
        <row r="1037">
          <cell r="G1037">
            <v>0</v>
          </cell>
          <cell r="K1037">
            <v>0</v>
          </cell>
          <cell r="O1037">
            <v>0</v>
          </cell>
          <cell r="P1037">
            <v>0</v>
          </cell>
        </row>
        <row r="1038">
          <cell r="G1038">
            <v>0</v>
          </cell>
          <cell r="K1038">
            <v>0</v>
          </cell>
          <cell r="O1038">
            <v>0</v>
          </cell>
          <cell r="P1038">
            <v>0</v>
          </cell>
        </row>
        <row r="1039">
          <cell r="G1039">
            <v>0</v>
          </cell>
          <cell r="K1039">
            <v>0</v>
          </cell>
          <cell r="O1039">
            <v>0</v>
          </cell>
          <cell r="P1039">
            <v>0</v>
          </cell>
        </row>
        <row r="1040">
          <cell r="G1040">
            <v>0</v>
          </cell>
          <cell r="K1040">
            <v>0</v>
          </cell>
          <cell r="O1040">
            <v>0</v>
          </cell>
          <cell r="P1040">
            <v>0</v>
          </cell>
        </row>
        <row r="1041">
          <cell r="G1041">
            <v>0</v>
          </cell>
          <cell r="K1041">
            <v>0</v>
          </cell>
          <cell r="O1041">
            <v>0</v>
          </cell>
          <cell r="P1041">
            <v>0</v>
          </cell>
        </row>
        <row r="1042">
          <cell r="G1042">
            <v>0</v>
          </cell>
          <cell r="K1042">
            <v>0</v>
          </cell>
          <cell r="O1042">
            <v>0</v>
          </cell>
          <cell r="P1042">
            <v>0</v>
          </cell>
        </row>
        <row r="1043">
          <cell r="G1043">
            <v>0</v>
          </cell>
          <cell r="K1043">
            <v>0</v>
          </cell>
          <cell r="O1043">
            <v>0</v>
          </cell>
          <cell r="P1043">
            <v>0</v>
          </cell>
        </row>
        <row r="1044">
          <cell r="G1044">
            <v>0</v>
          </cell>
          <cell r="K1044">
            <v>0</v>
          </cell>
          <cell r="O1044">
            <v>0</v>
          </cell>
          <cell r="P1044">
            <v>0</v>
          </cell>
        </row>
        <row r="1045">
          <cell r="G1045">
            <v>0</v>
          </cell>
          <cell r="K1045">
            <v>0</v>
          </cell>
          <cell r="O1045">
            <v>0</v>
          </cell>
          <cell r="P1045">
            <v>0</v>
          </cell>
        </row>
        <row r="1046">
          <cell r="G1046">
            <v>0</v>
          </cell>
          <cell r="K1046">
            <v>0</v>
          </cell>
          <cell r="O1046">
            <v>0</v>
          </cell>
          <cell r="P1046">
            <v>0</v>
          </cell>
        </row>
        <row r="1047">
          <cell r="G1047">
            <v>0</v>
          </cell>
          <cell r="K1047">
            <v>0</v>
          </cell>
          <cell r="O1047">
            <v>0</v>
          </cell>
          <cell r="P1047">
            <v>0</v>
          </cell>
        </row>
        <row r="1048">
          <cell r="G1048">
            <v>0</v>
          </cell>
          <cell r="K1048">
            <v>0</v>
          </cell>
          <cell r="O1048">
            <v>0</v>
          </cell>
          <cell r="P1048">
            <v>0</v>
          </cell>
        </row>
        <row r="1049">
          <cell r="G1049">
            <v>0</v>
          </cell>
          <cell r="K1049">
            <v>0</v>
          </cell>
          <cell r="O1049">
            <v>0</v>
          </cell>
          <cell r="P1049">
            <v>0</v>
          </cell>
        </row>
        <row r="1050">
          <cell r="G1050">
            <v>0</v>
          </cell>
          <cell r="K1050">
            <v>0</v>
          </cell>
          <cell r="O1050">
            <v>0</v>
          </cell>
          <cell r="P1050">
            <v>0</v>
          </cell>
        </row>
        <row r="1051">
          <cell r="G1051">
            <v>0</v>
          </cell>
          <cell r="K1051">
            <v>0</v>
          </cell>
          <cell r="O1051">
            <v>0</v>
          </cell>
          <cell r="P1051">
            <v>0</v>
          </cell>
        </row>
        <row r="1052">
          <cell r="G1052">
            <v>0</v>
          </cell>
          <cell r="K1052">
            <v>0</v>
          </cell>
          <cell r="O1052">
            <v>0</v>
          </cell>
          <cell r="P1052">
            <v>0</v>
          </cell>
        </row>
        <row r="1053">
          <cell r="G1053">
            <v>0</v>
          </cell>
          <cell r="K1053">
            <v>0</v>
          </cell>
          <cell r="O1053">
            <v>0</v>
          </cell>
          <cell r="P1053">
            <v>0</v>
          </cell>
        </row>
        <row r="1054">
          <cell r="G1054">
            <v>0</v>
          </cell>
          <cell r="K1054">
            <v>0</v>
          </cell>
          <cell r="O1054">
            <v>0</v>
          </cell>
          <cell r="P1054">
            <v>0</v>
          </cell>
        </row>
        <row r="1055">
          <cell r="G1055">
            <v>0</v>
          </cell>
          <cell r="K1055">
            <v>0</v>
          </cell>
          <cell r="O1055">
            <v>0</v>
          </cell>
          <cell r="P1055">
            <v>0</v>
          </cell>
        </row>
        <row r="1056">
          <cell r="G1056">
            <v>0</v>
          </cell>
          <cell r="K1056">
            <v>0</v>
          </cell>
          <cell r="O1056">
            <v>0</v>
          </cell>
          <cell r="P1056">
            <v>0</v>
          </cell>
        </row>
        <row r="1057">
          <cell r="G1057">
            <v>0</v>
          </cell>
          <cell r="K1057">
            <v>0</v>
          </cell>
          <cell r="O1057">
            <v>0</v>
          </cell>
          <cell r="P1057">
            <v>0</v>
          </cell>
        </row>
        <row r="1058">
          <cell r="G1058">
            <v>0</v>
          </cell>
          <cell r="K1058">
            <v>0</v>
          </cell>
          <cell r="O1058">
            <v>0</v>
          </cell>
          <cell r="P1058">
            <v>0</v>
          </cell>
        </row>
        <row r="1059">
          <cell r="G1059">
            <v>0</v>
          </cell>
          <cell r="K1059">
            <v>0</v>
          </cell>
          <cell r="O1059">
            <v>0</v>
          </cell>
          <cell r="P1059">
            <v>0</v>
          </cell>
        </row>
        <row r="1060">
          <cell r="G1060">
            <v>0</v>
          </cell>
          <cell r="K1060">
            <v>0</v>
          </cell>
          <cell r="O1060">
            <v>0</v>
          </cell>
          <cell r="P1060">
            <v>0</v>
          </cell>
        </row>
        <row r="1061">
          <cell r="G1061">
            <v>0</v>
          </cell>
          <cell r="K1061">
            <v>0</v>
          </cell>
          <cell r="O1061">
            <v>0</v>
          </cell>
          <cell r="P1061">
            <v>0</v>
          </cell>
        </row>
        <row r="1062">
          <cell r="G1062">
            <v>0</v>
          </cell>
          <cell r="K1062">
            <v>0</v>
          </cell>
          <cell r="O1062">
            <v>0</v>
          </cell>
          <cell r="P1062">
            <v>0</v>
          </cell>
        </row>
        <row r="1063">
          <cell r="G1063">
            <v>0</v>
          </cell>
          <cell r="K1063">
            <v>0</v>
          </cell>
          <cell r="O1063">
            <v>0</v>
          </cell>
          <cell r="P1063">
            <v>0</v>
          </cell>
        </row>
        <row r="1064">
          <cell r="G1064">
            <v>0</v>
          </cell>
          <cell r="K1064">
            <v>0</v>
          </cell>
          <cell r="O1064">
            <v>0</v>
          </cell>
          <cell r="P1064">
            <v>0</v>
          </cell>
        </row>
        <row r="1065">
          <cell r="G1065">
            <v>0</v>
          </cell>
          <cell r="K1065">
            <v>0</v>
          </cell>
          <cell r="O1065">
            <v>0</v>
          </cell>
          <cell r="P1065">
            <v>0</v>
          </cell>
        </row>
        <row r="1066">
          <cell r="G1066">
            <v>0</v>
          </cell>
          <cell r="K1066">
            <v>0</v>
          </cell>
          <cell r="O1066">
            <v>0</v>
          </cell>
          <cell r="P1066">
            <v>0</v>
          </cell>
        </row>
        <row r="1067">
          <cell r="G1067">
            <v>0</v>
          </cell>
          <cell r="K1067">
            <v>0</v>
          </cell>
          <cell r="O1067">
            <v>0</v>
          </cell>
          <cell r="P1067">
            <v>0</v>
          </cell>
        </row>
        <row r="1068">
          <cell r="G1068">
            <v>0</v>
          </cell>
          <cell r="K1068">
            <v>0</v>
          </cell>
          <cell r="O1068">
            <v>0</v>
          </cell>
          <cell r="P1068">
            <v>0</v>
          </cell>
        </row>
        <row r="1069">
          <cell r="G1069">
            <v>0</v>
          </cell>
          <cell r="K1069">
            <v>0</v>
          </cell>
          <cell r="O1069">
            <v>0</v>
          </cell>
          <cell r="P1069">
            <v>0</v>
          </cell>
        </row>
        <row r="1070">
          <cell r="G1070">
            <v>0</v>
          </cell>
          <cell r="K1070">
            <v>0</v>
          </cell>
          <cell r="O1070">
            <v>0</v>
          </cell>
          <cell r="P1070">
            <v>0</v>
          </cell>
        </row>
        <row r="1071">
          <cell r="G1071">
            <v>0</v>
          </cell>
          <cell r="K1071">
            <v>0</v>
          </cell>
          <cell r="O1071">
            <v>0</v>
          </cell>
          <cell r="P1071">
            <v>0</v>
          </cell>
        </row>
        <row r="1072">
          <cell r="G1072">
            <v>0</v>
          </cell>
          <cell r="K1072">
            <v>0</v>
          </cell>
          <cell r="O1072">
            <v>0</v>
          </cell>
          <cell r="P1072">
            <v>0</v>
          </cell>
        </row>
        <row r="1073">
          <cell r="G1073">
            <v>0</v>
          </cell>
          <cell r="K1073">
            <v>0</v>
          </cell>
          <cell r="O1073">
            <v>0</v>
          </cell>
          <cell r="P1073">
            <v>0</v>
          </cell>
        </row>
        <row r="1074">
          <cell r="G1074">
            <v>0</v>
          </cell>
          <cell r="K1074">
            <v>0</v>
          </cell>
          <cell r="O1074">
            <v>0</v>
          </cell>
          <cell r="P1074">
            <v>0</v>
          </cell>
        </row>
        <row r="1075">
          <cell r="G1075">
            <v>0</v>
          </cell>
          <cell r="K1075">
            <v>0</v>
          </cell>
          <cell r="O1075">
            <v>0</v>
          </cell>
          <cell r="P1075">
            <v>0</v>
          </cell>
        </row>
        <row r="1076">
          <cell r="G1076">
            <v>0</v>
          </cell>
          <cell r="K1076">
            <v>0</v>
          </cell>
          <cell r="O1076">
            <v>0</v>
          </cell>
          <cell r="P1076">
            <v>0</v>
          </cell>
        </row>
        <row r="1077">
          <cell r="G1077">
            <v>0</v>
          </cell>
          <cell r="K1077">
            <v>0</v>
          </cell>
          <cell r="O1077">
            <v>0</v>
          </cell>
          <cell r="P1077">
            <v>0</v>
          </cell>
        </row>
        <row r="1078">
          <cell r="G1078">
            <v>0</v>
          </cell>
          <cell r="K1078">
            <v>0</v>
          </cell>
          <cell r="O1078">
            <v>0</v>
          </cell>
          <cell r="P1078">
            <v>0</v>
          </cell>
        </row>
        <row r="1079">
          <cell r="G1079">
            <v>0</v>
          </cell>
          <cell r="K1079">
            <v>0</v>
          </cell>
          <cell r="O1079">
            <v>0</v>
          </cell>
          <cell r="P1079">
            <v>0</v>
          </cell>
        </row>
        <row r="1080">
          <cell r="G1080">
            <v>0</v>
          </cell>
          <cell r="K1080">
            <v>0</v>
          </cell>
          <cell r="O1080">
            <v>0</v>
          </cell>
          <cell r="P1080">
            <v>0</v>
          </cell>
        </row>
        <row r="1081">
          <cell r="G1081">
            <v>0</v>
          </cell>
          <cell r="K1081">
            <v>0</v>
          </cell>
          <cell r="O1081">
            <v>0</v>
          </cell>
          <cell r="P1081">
            <v>0</v>
          </cell>
        </row>
        <row r="1082">
          <cell r="G1082">
            <v>0</v>
          </cell>
          <cell r="K1082">
            <v>0</v>
          </cell>
          <cell r="O1082">
            <v>0</v>
          </cell>
          <cell r="P1082">
            <v>0</v>
          </cell>
        </row>
        <row r="1083">
          <cell r="G1083">
            <v>0</v>
          </cell>
          <cell r="K1083">
            <v>0</v>
          </cell>
          <cell r="O1083">
            <v>0</v>
          </cell>
          <cell r="P1083">
            <v>0</v>
          </cell>
        </row>
        <row r="1084">
          <cell r="G1084">
            <v>0</v>
          </cell>
          <cell r="K1084">
            <v>0</v>
          </cell>
          <cell r="O1084">
            <v>0</v>
          </cell>
          <cell r="P1084">
            <v>0</v>
          </cell>
        </row>
        <row r="1085">
          <cell r="G1085">
            <v>0</v>
          </cell>
          <cell r="K1085">
            <v>0</v>
          </cell>
          <cell r="O1085">
            <v>0</v>
          </cell>
          <cell r="P1085">
            <v>0</v>
          </cell>
        </row>
        <row r="1086">
          <cell r="G1086">
            <v>0</v>
          </cell>
          <cell r="K1086">
            <v>0</v>
          </cell>
          <cell r="O1086">
            <v>0</v>
          </cell>
          <cell r="P1086">
            <v>0</v>
          </cell>
        </row>
        <row r="1087">
          <cell r="G1087">
            <v>0</v>
          </cell>
          <cell r="K1087">
            <v>0</v>
          </cell>
          <cell r="O1087">
            <v>0</v>
          </cell>
          <cell r="P1087">
            <v>0</v>
          </cell>
        </row>
        <row r="1088">
          <cell r="G1088">
            <v>0</v>
          </cell>
          <cell r="K1088">
            <v>0</v>
          </cell>
          <cell r="O1088">
            <v>0</v>
          </cell>
          <cell r="P1088">
            <v>0</v>
          </cell>
        </row>
        <row r="1089">
          <cell r="G1089">
            <v>0</v>
          </cell>
          <cell r="K1089">
            <v>0</v>
          </cell>
          <cell r="O1089">
            <v>0</v>
          </cell>
          <cell r="P1089">
            <v>0</v>
          </cell>
        </row>
        <row r="1090">
          <cell r="G1090">
            <v>0</v>
          </cell>
          <cell r="K1090">
            <v>0</v>
          </cell>
          <cell r="O1090">
            <v>0</v>
          </cell>
          <cell r="P1090">
            <v>0</v>
          </cell>
        </row>
        <row r="1091">
          <cell r="G1091">
            <v>0</v>
          </cell>
          <cell r="K1091">
            <v>0</v>
          </cell>
          <cell r="O1091">
            <v>0</v>
          </cell>
          <cell r="P1091">
            <v>0</v>
          </cell>
        </row>
        <row r="1092">
          <cell r="G1092">
            <v>0</v>
          </cell>
          <cell r="K1092">
            <v>0</v>
          </cell>
          <cell r="O1092">
            <v>0</v>
          </cell>
          <cell r="P1092">
            <v>0</v>
          </cell>
        </row>
        <row r="1093">
          <cell r="G1093">
            <v>0</v>
          </cell>
          <cell r="K1093">
            <v>0</v>
          </cell>
          <cell r="O1093">
            <v>0</v>
          </cell>
          <cell r="P1093">
            <v>0</v>
          </cell>
        </row>
        <row r="1094">
          <cell r="G1094">
            <v>0</v>
          </cell>
          <cell r="K1094">
            <v>0</v>
          </cell>
          <cell r="O1094">
            <v>0</v>
          </cell>
          <cell r="P1094">
            <v>0</v>
          </cell>
        </row>
        <row r="1095">
          <cell r="G1095">
            <v>0</v>
          </cell>
          <cell r="K1095">
            <v>0</v>
          </cell>
          <cell r="O1095">
            <v>0</v>
          </cell>
          <cell r="P1095">
            <v>0</v>
          </cell>
        </row>
        <row r="1096">
          <cell r="G1096">
            <v>0</v>
          </cell>
          <cell r="K1096">
            <v>0</v>
          </cell>
          <cell r="O1096">
            <v>0</v>
          </cell>
          <cell r="P1096">
            <v>0</v>
          </cell>
        </row>
        <row r="1097">
          <cell r="G1097">
            <v>0</v>
          </cell>
          <cell r="K1097">
            <v>0</v>
          </cell>
          <cell r="O1097">
            <v>0</v>
          </cell>
          <cell r="P1097">
            <v>0</v>
          </cell>
        </row>
        <row r="1098">
          <cell r="G1098">
            <v>0</v>
          </cell>
          <cell r="K1098">
            <v>0</v>
          </cell>
          <cell r="O1098">
            <v>0</v>
          </cell>
          <cell r="P1098">
            <v>0</v>
          </cell>
        </row>
        <row r="1099">
          <cell r="G1099">
            <v>0</v>
          </cell>
          <cell r="K1099">
            <v>0</v>
          </cell>
          <cell r="O1099">
            <v>0</v>
          </cell>
          <cell r="P1099">
            <v>0</v>
          </cell>
        </row>
        <row r="1100">
          <cell r="G1100">
            <v>0</v>
          </cell>
          <cell r="K1100">
            <v>0</v>
          </cell>
          <cell r="O1100">
            <v>0</v>
          </cell>
          <cell r="P1100">
            <v>0</v>
          </cell>
        </row>
        <row r="1101">
          <cell r="G1101">
            <v>0</v>
          </cell>
          <cell r="K1101">
            <v>0</v>
          </cell>
          <cell r="O1101">
            <v>0</v>
          </cell>
          <cell r="P1101">
            <v>0</v>
          </cell>
        </row>
        <row r="1102">
          <cell r="G1102">
            <v>0</v>
          </cell>
          <cell r="K1102">
            <v>0</v>
          </cell>
          <cell r="O1102">
            <v>0</v>
          </cell>
          <cell r="P1102">
            <v>0</v>
          </cell>
        </row>
        <row r="1103">
          <cell r="G1103">
            <v>0</v>
          </cell>
          <cell r="K1103">
            <v>0</v>
          </cell>
          <cell r="O1103">
            <v>0</v>
          </cell>
          <cell r="P1103">
            <v>0</v>
          </cell>
        </row>
        <row r="1104">
          <cell r="G1104">
            <v>0</v>
          </cell>
          <cell r="K1104">
            <v>0</v>
          </cell>
          <cell r="O1104">
            <v>0</v>
          </cell>
          <cell r="P1104">
            <v>0</v>
          </cell>
        </row>
        <row r="1105">
          <cell r="G1105">
            <v>0</v>
          </cell>
          <cell r="K1105">
            <v>0</v>
          </cell>
          <cell r="O1105">
            <v>0</v>
          </cell>
          <cell r="P1105">
            <v>0</v>
          </cell>
        </row>
        <row r="1106">
          <cell r="G1106">
            <v>0</v>
          </cell>
          <cell r="K1106">
            <v>0</v>
          </cell>
          <cell r="O1106">
            <v>0</v>
          </cell>
          <cell r="P1106">
            <v>0</v>
          </cell>
        </row>
        <row r="1107">
          <cell r="G1107">
            <v>0</v>
          </cell>
          <cell r="K1107">
            <v>0</v>
          </cell>
          <cell r="O1107">
            <v>0</v>
          </cell>
          <cell r="P1107">
            <v>0</v>
          </cell>
        </row>
        <row r="1108">
          <cell r="G1108">
            <v>0</v>
          </cell>
          <cell r="K1108">
            <v>0</v>
          </cell>
          <cell r="O1108">
            <v>0</v>
          </cell>
          <cell r="P1108">
            <v>0</v>
          </cell>
        </row>
        <row r="1109">
          <cell r="G1109">
            <v>0</v>
          </cell>
          <cell r="K1109">
            <v>0</v>
          </cell>
          <cell r="O1109">
            <v>0</v>
          </cell>
          <cell r="P1109">
            <v>0</v>
          </cell>
        </row>
        <row r="1110">
          <cell r="G1110">
            <v>0</v>
          </cell>
          <cell r="K1110">
            <v>0</v>
          </cell>
          <cell r="O1110">
            <v>0</v>
          </cell>
          <cell r="P1110">
            <v>0</v>
          </cell>
        </row>
        <row r="1111">
          <cell r="G1111">
            <v>0</v>
          </cell>
          <cell r="K1111">
            <v>0</v>
          </cell>
          <cell r="O1111">
            <v>0</v>
          </cell>
          <cell r="P1111">
            <v>0</v>
          </cell>
        </row>
        <row r="1112">
          <cell r="G1112">
            <v>0</v>
          </cell>
          <cell r="K1112">
            <v>0</v>
          </cell>
          <cell r="O1112">
            <v>0</v>
          </cell>
          <cell r="P1112">
            <v>0</v>
          </cell>
        </row>
        <row r="1113">
          <cell r="G1113">
            <v>0</v>
          </cell>
          <cell r="K1113">
            <v>0</v>
          </cell>
          <cell r="O1113">
            <v>0</v>
          </cell>
          <cell r="P1113">
            <v>0</v>
          </cell>
        </row>
        <row r="1114">
          <cell r="G1114">
            <v>0</v>
          </cell>
          <cell r="K1114">
            <v>0</v>
          </cell>
          <cell r="O1114">
            <v>0</v>
          </cell>
          <cell r="P1114">
            <v>0</v>
          </cell>
        </row>
        <row r="1115">
          <cell r="G1115">
            <v>0</v>
          </cell>
          <cell r="K1115">
            <v>0</v>
          </cell>
          <cell r="O1115">
            <v>0</v>
          </cell>
          <cell r="P1115">
            <v>0</v>
          </cell>
        </row>
        <row r="1116">
          <cell r="G1116">
            <v>0</v>
          </cell>
          <cell r="K1116">
            <v>0</v>
          </cell>
          <cell r="O1116">
            <v>0</v>
          </cell>
          <cell r="P1116">
            <v>0</v>
          </cell>
        </row>
        <row r="1117">
          <cell r="G1117">
            <v>0</v>
          </cell>
          <cell r="K1117">
            <v>0</v>
          </cell>
          <cell r="O1117">
            <v>0</v>
          </cell>
          <cell r="P1117">
            <v>0</v>
          </cell>
        </row>
        <row r="1118">
          <cell r="G1118">
            <v>0</v>
          </cell>
          <cell r="K1118">
            <v>0</v>
          </cell>
          <cell r="O1118">
            <v>0</v>
          </cell>
          <cell r="P1118">
            <v>0</v>
          </cell>
        </row>
        <row r="1119">
          <cell r="G1119">
            <v>0</v>
          </cell>
          <cell r="K1119">
            <v>0</v>
          </cell>
          <cell r="O1119">
            <v>0</v>
          </cell>
          <cell r="P1119">
            <v>0</v>
          </cell>
        </row>
        <row r="1120">
          <cell r="G1120">
            <v>0</v>
          </cell>
          <cell r="K1120">
            <v>0</v>
          </cell>
          <cell r="O1120">
            <v>0</v>
          </cell>
          <cell r="P1120">
            <v>0</v>
          </cell>
        </row>
        <row r="1121">
          <cell r="G1121">
            <v>0</v>
          </cell>
          <cell r="K1121">
            <v>0</v>
          </cell>
          <cell r="O1121">
            <v>0</v>
          </cell>
          <cell r="P1121">
            <v>0</v>
          </cell>
        </row>
        <row r="1122">
          <cell r="G1122">
            <v>0</v>
          </cell>
          <cell r="K1122">
            <v>0</v>
          </cell>
          <cell r="O1122">
            <v>0</v>
          </cell>
          <cell r="P1122">
            <v>0</v>
          </cell>
        </row>
        <row r="1123">
          <cell r="G1123">
            <v>0</v>
          </cell>
          <cell r="K1123">
            <v>0</v>
          </cell>
          <cell r="O1123">
            <v>0</v>
          </cell>
          <cell r="P1123">
            <v>0</v>
          </cell>
        </row>
        <row r="1124">
          <cell r="G1124">
            <v>0</v>
          </cell>
          <cell r="K1124">
            <v>0</v>
          </cell>
          <cell r="O1124">
            <v>0</v>
          </cell>
          <cell r="P1124">
            <v>0</v>
          </cell>
        </row>
        <row r="1125">
          <cell r="G1125">
            <v>0</v>
          </cell>
          <cell r="K1125">
            <v>0</v>
          </cell>
          <cell r="O1125">
            <v>0</v>
          </cell>
          <cell r="P1125">
            <v>0</v>
          </cell>
        </row>
        <row r="1126">
          <cell r="G1126">
            <v>0</v>
          </cell>
          <cell r="K1126">
            <v>0</v>
          </cell>
          <cell r="O1126">
            <v>0</v>
          </cell>
          <cell r="P1126">
            <v>0</v>
          </cell>
        </row>
        <row r="1127">
          <cell r="G1127">
            <v>0</v>
          </cell>
          <cell r="K1127">
            <v>0</v>
          </cell>
          <cell r="O1127">
            <v>0</v>
          </cell>
          <cell r="P1127">
            <v>0</v>
          </cell>
        </row>
        <row r="1128">
          <cell r="G1128">
            <v>0</v>
          </cell>
          <cell r="K1128">
            <v>0</v>
          </cell>
          <cell r="O1128">
            <v>0</v>
          </cell>
          <cell r="P1128">
            <v>0</v>
          </cell>
        </row>
        <row r="1129">
          <cell r="G1129">
            <v>0</v>
          </cell>
          <cell r="K1129">
            <v>0</v>
          </cell>
          <cell r="O1129">
            <v>0</v>
          </cell>
          <cell r="P1129">
            <v>0</v>
          </cell>
        </row>
        <row r="1130">
          <cell r="G1130">
            <v>0</v>
          </cell>
          <cell r="K1130">
            <v>0</v>
          </cell>
          <cell r="O1130">
            <v>0</v>
          </cell>
          <cell r="P1130">
            <v>0</v>
          </cell>
        </row>
        <row r="1131">
          <cell r="G1131">
            <v>0</v>
          </cell>
          <cell r="K1131">
            <v>0</v>
          </cell>
          <cell r="O1131">
            <v>0</v>
          </cell>
          <cell r="P1131">
            <v>0</v>
          </cell>
        </row>
        <row r="1132">
          <cell r="G1132">
            <v>0</v>
          </cell>
          <cell r="K1132">
            <v>0</v>
          </cell>
          <cell r="O1132">
            <v>0</v>
          </cell>
          <cell r="P1132">
            <v>0</v>
          </cell>
        </row>
        <row r="1133">
          <cell r="G1133">
            <v>0</v>
          </cell>
          <cell r="K1133">
            <v>0</v>
          </cell>
          <cell r="O1133">
            <v>0</v>
          </cell>
          <cell r="P1133">
            <v>0</v>
          </cell>
        </row>
        <row r="1134">
          <cell r="G1134">
            <v>0</v>
          </cell>
          <cell r="K1134">
            <v>0</v>
          </cell>
          <cell r="O1134">
            <v>0</v>
          </cell>
          <cell r="P1134">
            <v>0</v>
          </cell>
        </row>
        <row r="1135">
          <cell r="G1135">
            <v>0</v>
          </cell>
          <cell r="K1135">
            <v>0</v>
          </cell>
          <cell r="O1135">
            <v>0</v>
          </cell>
          <cell r="P1135">
            <v>0</v>
          </cell>
        </row>
        <row r="1136">
          <cell r="G1136">
            <v>0</v>
          </cell>
          <cell r="K1136">
            <v>0</v>
          </cell>
          <cell r="O1136">
            <v>0</v>
          </cell>
          <cell r="P1136">
            <v>0</v>
          </cell>
        </row>
        <row r="1137">
          <cell r="G1137">
            <v>0</v>
          </cell>
          <cell r="K1137">
            <v>0</v>
          </cell>
          <cell r="O1137">
            <v>0</v>
          </cell>
          <cell r="P1137">
            <v>0</v>
          </cell>
        </row>
        <row r="1138">
          <cell r="G1138">
            <v>0</v>
          </cell>
          <cell r="K1138">
            <v>0</v>
          </cell>
          <cell r="O1138">
            <v>0</v>
          </cell>
          <cell r="P1138">
            <v>0</v>
          </cell>
        </row>
        <row r="1139">
          <cell r="G1139">
            <v>0</v>
          </cell>
          <cell r="K1139">
            <v>0</v>
          </cell>
          <cell r="O1139">
            <v>0</v>
          </cell>
          <cell r="P1139">
            <v>0</v>
          </cell>
        </row>
        <row r="1140">
          <cell r="G1140">
            <v>0</v>
          </cell>
          <cell r="K1140">
            <v>0</v>
          </cell>
          <cell r="O1140">
            <v>0</v>
          </cell>
          <cell r="P1140">
            <v>0</v>
          </cell>
        </row>
        <row r="1141">
          <cell r="G1141">
            <v>0</v>
          </cell>
          <cell r="K1141">
            <v>0</v>
          </cell>
          <cell r="O1141">
            <v>0</v>
          </cell>
          <cell r="P1141">
            <v>0</v>
          </cell>
        </row>
        <row r="1142">
          <cell r="G1142">
            <v>0</v>
          </cell>
          <cell r="K1142">
            <v>0</v>
          </cell>
          <cell r="O1142">
            <v>0</v>
          </cell>
          <cell r="P1142">
            <v>0</v>
          </cell>
        </row>
        <row r="1143">
          <cell r="G1143">
            <v>0</v>
          </cell>
          <cell r="K1143">
            <v>0</v>
          </cell>
          <cell r="O1143">
            <v>0</v>
          </cell>
          <cell r="P1143">
            <v>0</v>
          </cell>
        </row>
        <row r="1144">
          <cell r="G1144">
            <v>0</v>
          </cell>
          <cell r="K1144">
            <v>0</v>
          </cell>
          <cell r="O1144">
            <v>0</v>
          </cell>
          <cell r="P1144">
            <v>0</v>
          </cell>
        </row>
        <row r="1145">
          <cell r="G1145">
            <v>0</v>
          </cell>
          <cell r="K1145">
            <v>0</v>
          </cell>
          <cell r="O1145">
            <v>0</v>
          </cell>
          <cell r="P1145">
            <v>0</v>
          </cell>
        </row>
        <row r="1146">
          <cell r="G1146">
            <v>0</v>
          </cell>
          <cell r="K1146">
            <v>0</v>
          </cell>
          <cell r="O1146">
            <v>0</v>
          </cell>
          <cell r="P1146">
            <v>0</v>
          </cell>
        </row>
        <row r="1147">
          <cell r="G1147">
            <v>0</v>
          </cell>
          <cell r="K1147">
            <v>0</v>
          </cell>
          <cell r="O1147">
            <v>0</v>
          </cell>
          <cell r="P1147">
            <v>0</v>
          </cell>
        </row>
        <row r="1148">
          <cell r="G1148">
            <v>0</v>
          </cell>
          <cell r="K1148">
            <v>0</v>
          </cell>
          <cell r="O1148">
            <v>0</v>
          </cell>
          <cell r="P1148">
            <v>0</v>
          </cell>
        </row>
        <row r="1149">
          <cell r="G1149">
            <v>0</v>
          </cell>
          <cell r="K1149">
            <v>0</v>
          </cell>
          <cell r="O1149">
            <v>0</v>
          </cell>
          <cell r="P1149">
            <v>0</v>
          </cell>
        </row>
        <row r="1150">
          <cell r="G1150">
            <v>0</v>
          </cell>
          <cell r="K1150">
            <v>0</v>
          </cell>
          <cell r="O1150">
            <v>0</v>
          </cell>
          <cell r="P1150">
            <v>0</v>
          </cell>
        </row>
        <row r="1151">
          <cell r="G1151">
            <v>0</v>
          </cell>
          <cell r="K1151">
            <v>0</v>
          </cell>
          <cell r="O1151">
            <v>0</v>
          </cell>
          <cell r="P1151">
            <v>0</v>
          </cell>
        </row>
        <row r="1152">
          <cell r="G1152">
            <v>0</v>
          </cell>
          <cell r="K1152">
            <v>0</v>
          </cell>
          <cell r="O1152">
            <v>0</v>
          </cell>
          <cell r="P1152">
            <v>0</v>
          </cell>
        </row>
        <row r="1153">
          <cell r="G1153">
            <v>0</v>
          </cell>
          <cell r="K1153">
            <v>0</v>
          </cell>
          <cell r="O1153">
            <v>0</v>
          </cell>
          <cell r="P1153">
            <v>0</v>
          </cell>
        </row>
        <row r="1154">
          <cell r="G1154">
            <v>0</v>
          </cell>
          <cell r="K1154">
            <v>0</v>
          </cell>
          <cell r="O1154">
            <v>0</v>
          </cell>
          <cell r="P1154">
            <v>0</v>
          </cell>
        </row>
        <row r="1155">
          <cell r="G1155">
            <v>0</v>
          </cell>
          <cell r="K1155">
            <v>0</v>
          </cell>
          <cell r="O1155">
            <v>0</v>
          </cell>
          <cell r="P1155">
            <v>0</v>
          </cell>
        </row>
        <row r="1156">
          <cell r="G1156">
            <v>0</v>
          </cell>
          <cell r="K1156">
            <v>0</v>
          </cell>
          <cell r="O1156">
            <v>0</v>
          </cell>
          <cell r="P1156">
            <v>0</v>
          </cell>
        </row>
        <row r="1157">
          <cell r="G1157">
            <v>0</v>
          </cell>
          <cell r="K1157">
            <v>0</v>
          </cell>
          <cell r="O1157">
            <v>0</v>
          </cell>
          <cell r="P1157">
            <v>0</v>
          </cell>
        </row>
        <row r="1158">
          <cell r="G1158">
            <v>0</v>
          </cell>
          <cell r="K1158">
            <v>0</v>
          </cell>
          <cell r="O1158">
            <v>0</v>
          </cell>
          <cell r="P1158">
            <v>0</v>
          </cell>
        </row>
        <row r="1159">
          <cell r="G1159">
            <v>0</v>
          </cell>
          <cell r="K1159">
            <v>0</v>
          </cell>
          <cell r="O1159">
            <v>0</v>
          </cell>
          <cell r="P1159">
            <v>0</v>
          </cell>
        </row>
        <row r="1160">
          <cell r="G1160">
            <v>0</v>
          </cell>
          <cell r="K1160">
            <v>0</v>
          </cell>
          <cell r="O1160">
            <v>0</v>
          </cell>
          <cell r="P1160">
            <v>0</v>
          </cell>
        </row>
        <row r="1161">
          <cell r="G1161">
            <v>0</v>
          </cell>
          <cell r="K1161">
            <v>0</v>
          </cell>
          <cell r="O1161">
            <v>0</v>
          </cell>
          <cell r="P1161">
            <v>0</v>
          </cell>
        </row>
        <row r="1162">
          <cell r="G1162">
            <v>0</v>
          </cell>
          <cell r="K1162">
            <v>0</v>
          </cell>
          <cell r="O1162">
            <v>0</v>
          </cell>
          <cell r="P1162">
            <v>0</v>
          </cell>
        </row>
        <row r="1163">
          <cell r="G1163">
            <v>0</v>
          </cell>
          <cell r="K1163">
            <v>0</v>
          </cell>
          <cell r="O1163">
            <v>0</v>
          </cell>
          <cell r="P1163">
            <v>0</v>
          </cell>
        </row>
        <row r="1164">
          <cell r="G1164">
            <v>0</v>
          </cell>
          <cell r="K1164">
            <v>0</v>
          </cell>
          <cell r="O1164">
            <v>0</v>
          </cell>
          <cell r="P1164">
            <v>0</v>
          </cell>
        </row>
        <row r="1165">
          <cell r="G1165">
            <v>0</v>
          </cell>
          <cell r="K1165">
            <v>0</v>
          </cell>
          <cell r="O1165">
            <v>0</v>
          </cell>
          <cell r="P1165">
            <v>0</v>
          </cell>
        </row>
        <row r="1166">
          <cell r="G1166">
            <v>0</v>
          </cell>
          <cell r="K1166">
            <v>0</v>
          </cell>
          <cell r="O1166">
            <v>0</v>
          </cell>
          <cell r="P1166">
            <v>0</v>
          </cell>
        </row>
        <row r="1167">
          <cell r="G1167">
            <v>0</v>
          </cell>
          <cell r="K1167">
            <v>0</v>
          </cell>
          <cell r="O1167">
            <v>0</v>
          </cell>
          <cell r="P1167">
            <v>0</v>
          </cell>
        </row>
        <row r="1168">
          <cell r="G1168">
            <v>0</v>
          </cell>
          <cell r="K1168">
            <v>0</v>
          </cell>
          <cell r="O1168">
            <v>0</v>
          </cell>
          <cell r="P1168">
            <v>0</v>
          </cell>
        </row>
        <row r="1169">
          <cell r="G1169">
            <v>0</v>
          </cell>
          <cell r="K1169">
            <v>0</v>
          </cell>
          <cell r="O1169">
            <v>0</v>
          </cell>
          <cell r="P1169">
            <v>0</v>
          </cell>
        </row>
        <row r="1170">
          <cell r="G1170">
            <v>0</v>
          </cell>
          <cell r="K1170">
            <v>0</v>
          </cell>
          <cell r="O1170">
            <v>0</v>
          </cell>
          <cell r="P1170">
            <v>0</v>
          </cell>
        </row>
        <row r="1171">
          <cell r="G1171">
            <v>0</v>
          </cell>
          <cell r="K1171">
            <v>0</v>
          </cell>
          <cell r="O1171">
            <v>0</v>
          </cell>
          <cell r="P1171">
            <v>0</v>
          </cell>
        </row>
        <row r="1172">
          <cell r="G1172">
            <v>0</v>
          </cell>
          <cell r="K1172">
            <v>0</v>
          </cell>
          <cell r="O1172">
            <v>0</v>
          </cell>
          <cell r="P1172">
            <v>0</v>
          </cell>
        </row>
        <row r="1173">
          <cell r="G1173">
            <v>0</v>
          </cell>
          <cell r="K1173">
            <v>0</v>
          </cell>
          <cell r="O1173">
            <v>0</v>
          </cell>
          <cell r="P1173">
            <v>0</v>
          </cell>
        </row>
        <row r="1174">
          <cell r="G1174">
            <v>0</v>
          </cell>
          <cell r="K1174">
            <v>0</v>
          </cell>
          <cell r="O1174">
            <v>0</v>
          </cell>
          <cell r="P1174">
            <v>0</v>
          </cell>
        </row>
        <row r="1175">
          <cell r="G1175">
            <v>0</v>
          </cell>
          <cell r="K1175">
            <v>0</v>
          </cell>
          <cell r="O1175">
            <v>0</v>
          </cell>
          <cell r="P1175">
            <v>0</v>
          </cell>
        </row>
        <row r="1176">
          <cell r="G1176">
            <v>0</v>
          </cell>
          <cell r="K1176">
            <v>0</v>
          </cell>
          <cell r="O1176">
            <v>0</v>
          </cell>
          <cell r="P1176">
            <v>0</v>
          </cell>
        </row>
        <row r="1177">
          <cell r="G1177">
            <v>0</v>
          </cell>
          <cell r="K1177">
            <v>0</v>
          </cell>
          <cell r="O1177">
            <v>0</v>
          </cell>
          <cell r="P1177">
            <v>0</v>
          </cell>
        </row>
        <row r="1178">
          <cell r="G1178">
            <v>0</v>
          </cell>
          <cell r="K1178">
            <v>0</v>
          </cell>
          <cell r="O1178">
            <v>0</v>
          </cell>
          <cell r="P1178">
            <v>0</v>
          </cell>
        </row>
        <row r="1179">
          <cell r="G1179">
            <v>0</v>
          </cell>
          <cell r="K1179">
            <v>0</v>
          </cell>
          <cell r="O1179">
            <v>0</v>
          </cell>
          <cell r="P1179">
            <v>0</v>
          </cell>
        </row>
        <row r="1180">
          <cell r="G1180">
            <v>0</v>
          </cell>
          <cell r="K1180">
            <v>0</v>
          </cell>
          <cell r="O1180">
            <v>0</v>
          </cell>
          <cell r="P1180">
            <v>0</v>
          </cell>
        </row>
        <row r="1181">
          <cell r="G1181">
            <v>0</v>
          </cell>
          <cell r="K1181">
            <v>0</v>
          </cell>
          <cell r="O1181">
            <v>0</v>
          </cell>
          <cell r="P1181">
            <v>0</v>
          </cell>
        </row>
        <row r="1182">
          <cell r="G1182">
            <v>0</v>
          </cell>
          <cell r="K1182">
            <v>0</v>
          </cell>
          <cell r="O1182">
            <v>0</v>
          </cell>
          <cell r="P1182">
            <v>0</v>
          </cell>
        </row>
        <row r="1183">
          <cell r="G1183">
            <v>0</v>
          </cell>
          <cell r="K1183">
            <v>0</v>
          </cell>
          <cell r="O1183">
            <v>0</v>
          </cell>
          <cell r="P1183">
            <v>0</v>
          </cell>
        </row>
        <row r="1184">
          <cell r="G1184">
            <v>0</v>
          </cell>
          <cell r="K1184">
            <v>0</v>
          </cell>
          <cell r="O1184">
            <v>0</v>
          </cell>
          <cell r="P1184">
            <v>0</v>
          </cell>
        </row>
        <row r="1185">
          <cell r="G1185">
            <v>0</v>
          </cell>
          <cell r="K1185">
            <v>0</v>
          </cell>
          <cell r="O1185">
            <v>0</v>
          </cell>
          <cell r="P1185">
            <v>0</v>
          </cell>
        </row>
        <row r="1186">
          <cell r="G1186">
            <v>0</v>
          </cell>
          <cell r="K1186">
            <v>0</v>
          </cell>
          <cell r="O1186">
            <v>0</v>
          </cell>
          <cell r="P1186">
            <v>0</v>
          </cell>
        </row>
        <row r="1187">
          <cell r="G1187">
            <v>0</v>
          </cell>
          <cell r="K1187">
            <v>0</v>
          </cell>
          <cell r="O1187">
            <v>0</v>
          </cell>
          <cell r="P1187">
            <v>0</v>
          </cell>
        </row>
        <row r="1188">
          <cell r="G1188">
            <v>0</v>
          </cell>
          <cell r="K1188">
            <v>0</v>
          </cell>
          <cell r="O1188">
            <v>0</v>
          </cell>
          <cell r="P1188">
            <v>0</v>
          </cell>
        </row>
        <row r="1189">
          <cell r="G1189">
            <v>0</v>
          </cell>
          <cell r="K1189">
            <v>0</v>
          </cell>
          <cell r="O1189">
            <v>0</v>
          </cell>
          <cell r="P1189">
            <v>0</v>
          </cell>
        </row>
        <row r="1190">
          <cell r="G1190">
            <v>0</v>
          </cell>
          <cell r="K1190">
            <v>0</v>
          </cell>
          <cell r="O1190">
            <v>0</v>
          </cell>
          <cell r="P1190">
            <v>0</v>
          </cell>
        </row>
        <row r="1191">
          <cell r="G1191">
            <v>0</v>
          </cell>
          <cell r="K1191">
            <v>0</v>
          </cell>
          <cell r="O1191">
            <v>0</v>
          </cell>
          <cell r="P1191">
            <v>0</v>
          </cell>
        </row>
        <row r="1192">
          <cell r="G1192">
            <v>0</v>
          </cell>
          <cell r="K1192">
            <v>0</v>
          </cell>
          <cell r="O1192">
            <v>0</v>
          </cell>
          <cell r="P1192">
            <v>0</v>
          </cell>
        </row>
        <row r="1193">
          <cell r="G1193">
            <v>0</v>
          </cell>
          <cell r="K1193">
            <v>0</v>
          </cell>
          <cell r="O1193">
            <v>0</v>
          </cell>
          <cell r="P1193">
            <v>0</v>
          </cell>
        </row>
        <row r="1194">
          <cell r="G1194">
            <v>0</v>
          </cell>
          <cell r="K1194">
            <v>0</v>
          </cell>
          <cell r="O1194">
            <v>0</v>
          </cell>
          <cell r="P1194">
            <v>0</v>
          </cell>
        </row>
        <row r="1195">
          <cell r="G1195">
            <v>0</v>
          </cell>
          <cell r="K1195">
            <v>0</v>
          </cell>
          <cell r="O1195">
            <v>0</v>
          </cell>
          <cell r="P1195">
            <v>0</v>
          </cell>
        </row>
        <row r="1196">
          <cell r="G1196">
            <v>0</v>
          </cell>
          <cell r="K1196">
            <v>0</v>
          </cell>
          <cell r="O1196">
            <v>0</v>
          </cell>
          <cell r="P1196">
            <v>0</v>
          </cell>
        </row>
        <row r="1197">
          <cell r="G1197">
            <v>0</v>
          </cell>
          <cell r="K1197">
            <v>0</v>
          </cell>
          <cell r="O1197">
            <v>0</v>
          </cell>
          <cell r="P1197">
            <v>0</v>
          </cell>
        </row>
        <row r="1198">
          <cell r="G1198">
            <v>0</v>
          </cell>
          <cell r="K1198">
            <v>0</v>
          </cell>
          <cell r="O1198">
            <v>0</v>
          </cell>
          <cell r="P1198">
            <v>0</v>
          </cell>
        </row>
        <row r="1199">
          <cell r="G1199">
            <v>0</v>
          </cell>
          <cell r="K1199">
            <v>0</v>
          </cell>
          <cell r="O1199">
            <v>0</v>
          </cell>
          <cell r="P1199">
            <v>0</v>
          </cell>
        </row>
        <row r="1200">
          <cell r="G1200">
            <v>0</v>
          </cell>
          <cell r="K1200">
            <v>0</v>
          </cell>
          <cell r="O1200">
            <v>0</v>
          </cell>
          <cell r="P1200">
            <v>0</v>
          </cell>
        </row>
        <row r="1201">
          <cell r="G1201">
            <v>0</v>
          </cell>
          <cell r="K1201">
            <v>0</v>
          </cell>
          <cell r="O1201">
            <v>0</v>
          </cell>
          <cell r="P1201">
            <v>0</v>
          </cell>
        </row>
        <row r="1202">
          <cell r="G1202">
            <v>0</v>
          </cell>
          <cell r="K1202">
            <v>0</v>
          </cell>
          <cell r="O1202">
            <v>0</v>
          </cell>
          <cell r="P1202">
            <v>0</v>
          </cell>
        </row>
        <row r="1203">
          <cell r="G1203">
            <v>0</v>
          </cell>
          <cell r="K1203">
            <v>0</v>
          </cell>
          <cell r="O1203">
            <v>0</v>
          </cell>
          <cell r="P1203">
            <v>0</v>
          </cell>
        </row>
        <row r="1204">
          <cell r="G1204">
            <v>0</v>
          </cell>
          <cell r="K1204">
            <v>0</v>
          </cell>
          <cell r="O1204">
            <v>0</v>
          </cell>
          <cell r="P1204">
            <v>0</v>
          </cell>
        </row>
        <row r="1205">
          <cell r="G1205">
            <v>0</v>
          </cell>
          <cell r="K1205">
            <v>0</v>
          </cell>
          <cell r="O1205">
            <v>0</v>
          </cell>
          <cell r="P1205">
            <v>0</v>
          </cell>
        </row>
        <row r="1206">
          <cell r="G1206">
            <v>0</v>
          </cell>
          <cell r="K1206">
            <v>0</v>
          </cell>
          <cell r="O1206">
            <v>0</v>
          </cell>
          <cell r="P1206">
            <v>0</v>
          </cell>
        </row>
        <row r="1207">
          <cell r="G1207">
            <v>0</v>
          </cell>
          <cell r="K1207">
            <v>0</v>
          </cell>
          <cell r="O1207">
            <v>0</v>
          </cell>
          <cell r="P1207">
            <v>0</v>
          </cell>
        </row>
        <row r="1208">
          <cell r="G1208">
            <v>0</v>
          </cell>
          <cell r="K1208">
            <v>0</v>
          </cell>
          <cell r="O1208">
            <v>0</v>
          </cell>
          <cell r="P1208">
            <v>0</v>
          </cell>
        </row>
        <row r="1209">
          <cell r="G1209">
            <v>0</v>
          </cell>
          <cell r="K1209">
            <v>0</v>
          </cell>
          <cell r="O1209">
            <v>0</v>
          </cell>
          <cell r="P1209">
            <v>0</v>
          </cell>
        </row>
        <row r="1210">
          <cell r="G1210">
            <v>0</v>
          </cell>
          <cell r="K1210">
            <v>0</v>
          </cell>
          <cell r="O1210">
            <v>0</v>
          </cell>
          <cell r="P1210">
            <v>0</v>
          </cell>
        </row>
        <row r="1211">
          <cell r="G1211">
            <v>0</v>
          </cell>
          <cell r="K1211">
            <v>0</v>
          </cell>
          <cell r="O1211">
            <v>0</v>
          </cell>
          <cell r="P1211">
            <v>0</v>
          </cell>
        </row>
        <row r="1212">
          <cell r="G1212">
            <v>0</v>
          </cell>
          <cell r="K1212">
            <v>0</v>
          </cell>
          <cell r="O1212">
            <v>0</v>
          </cell>
          <cell r="P1212">
            <v>0</v>
          </cell>
        </row>
        <row r="1213">
          <cell r="G1213">
            <v>0</v>
          </cell>
          <cell r="K1213">
            <v>0</v>
          </cell>
          <cell r="O1213">
            <v>0</v>
          </cell>
          <cell r="P1213">
            <v>0</v>
          </cell>
        </row>
        <row r="1214">
          <cell r="G1214">
            <v>0</v>
          </cell>
          <cell r="K1214">
            <v>0</v>
          </cell>
          <cell r="O1214">
            <v>0</v>
          </cell>
          <cell r="P1214">
            <v>0</v>
          </cell>
        </row>
        <row r="1215">
          <cell r="G1215">
            <v>0</v>
          </cell>
          <cell r="K1215">
            <v>0</v>
          </cell>
          <cell r="O1215">
            <v>0</v>
          </cell>
          <cell r="P1215">
            <v>0</v>
          </cell>
        </row>
        <row r="1216">
          <cell r="G1216">
            <v>0</v>
          </cell>
          <cell r="K1216">
            <v>0</v>
          </cell>
          <cell r="O1216">
            <v>0</v>
          </cell>
          <cell r="P1216">
            <v>0</v>
          </cell>
        </row>
        <row r="1217">
          <cell r="G1217">
            <v>0</v>
          </cell>
          <cell r="K1217">
            <v>0</v>
          </cell>
          <cell r="O1217">
            <v>0</v>
          </cell>
          <cell r="P1217">
            <v>0</v>
          </cell>
        </row>
        <row r="1218">
          <cell r="G1218">
            <v>0</v>
          </cell>
          <cell r="K1218">
            <v>0</v>
          </cell>
          <cell r="O1218">
            <v>0</v>
          </cell>
          <cell r="P1218">
            <v>0</v>
          </cell>
        </row>
        <row r="1219">
          <cell r="G1219">
            <v>0</v>
          </cell>
          <cell r="K1219">
            <v>0</v>
          </cell>
          <cell r="O1219">
            <v>0</v>
          </cell>
          <cell r="P1219">
            <v>0</v>
          </cell>
        </row>
        <row r="1220">
          <cell r="G1220">
            <v>0</v>
          </cell>
          <cell r="K1220">
            <v>0</v>
          </cell>
          <cell r="O1220">
            <v>0</v>
          </cell>
          <cell r="P1220">
            <v>0</v>
          </cell>
        </row>
        <row r="1221">
          <cell r="G1221">
            <v>0</v>
          </cell>
          <cell r="K1221">
            <v>0</v>
          </cell>
          <cell r="O1221">
            <v>0</v>
          </cell>
          <cell r="P1221">
            <v>0</v>
          </cell>
        </row>
        <row r="1222">
          <cell r="G1222">
            <v>0</v>
          </cell>
          <cell r="K1222">
            <v>0</v>
          </cell>
          <cell r="O1222">
            <v>0</v>
          </cell>
          <cell r="P1222">
            <v>0</v>
          </cell>
        </row>
        <row r="1223">
          <cell r="G1223">
            <v>0</v>
          </cell>
          <cell r="K1223">
            <v>0</v>
          </cell>
          <cell r="O1223">
            <v>0</v>
          </cell>
          <cell r="P1223">
            <v>0</v>
          </cell>
        </row>
        <row r="1224">
          <cell r="G1224">
            <v>0</v>
          </cell>
          <cell r="K1224">
            <v>0</v>
          </cell>
          <cell r="O1224">
            <v>0</v>
          </cell>
          <cell r="P1224">
            <v>0</v>
          </cell>
        </row>
        <row r="1225">
          <cell r="G1225">
            <v>0</v>
          </cell>
          <cell r="K1225">
            <v>0</v>
          </cell>
          <cell r="O1225">
            <v>0</v>
          </cell>
          <cell r="P1225">
            <v>0</v>
          </cell>
        </row>
        <row r="1226">
          <cell r="G1226">
            <v>0</v>
          </cell>
          <cell r="K1226">
            <v>0</v>
          </cell>
          <cell r="O1226">
            <v>0</v>
          </cell>
          <cell r="P1226">
            <v>0</v>
          </cell>
        </row>
        <row r="1227">
          <cell r="G1227">
            <v>0</v>
          </cell>
          <cell r="K1227">
            <v>0</v>
          </cell>
          <cell r="O1227">
            <v>0</v>
          </cell>
          <cell r="P1227">
            <v>0</v>
          </cell>
        </row>
        <row r="1228">
          <cell r="G1228">
            <v>0</v>
          </cell>
          <cell r="K1228">
            <v>0</v>
          </cell>
          <cell r="O1228">
            <v>0</v>
          </cell>
          <cell r="P1228">
            <v>0</v>
          </cell>
        </row>
        <row r="1229">
          <cell r="G1229">
            <v>0</v>
          </cell>
          <cell r="K1229">
            <v>0</v>
          </cell>
          <cell r="O1229">
            <v>0</v>
          </cell>
          <cell r="P1229">
            <v>0</v>
          </cell>
        </row>
        <row r="1230">
          <cell r="G1230">
            <v>0</v>
          </cell>
          <cell r="K1230">
            <v>0</v>
          </cell>
          <cell r="O1230">
            <v>0</v>
          </cell>
          <cell r="P1230">
            <v>0</v>
          </cell>
        </row>
        <row r="1231">
          <cell r="G1231">
            <v>0</v>
          </cell>
          <cell r="K1231">
            <v>0</v>
          </cell>
          <cell r="O1231">
            <v>0</v>
          </cell>
          <cell r="P1231">
            <v>0</v>
          </cell>
        </row>
        <row r="1232">
          <cell r="G1232">
            <v>0</v>
          </cell>
          <cell r="K1232">
            <v>0</v>
          </cell>
          <cell r="O1232">
            <v>0</v>
          </cell>
          <cell r="P1232">
            <v>0</v>
          </cell>
        </row>
        <row r="1233">
          <cell r="G1233">
            <v>0</v>
          </cell>
          <cell r="K1233">
            <v>0</v>
          </cell>
          <cell r="O1233">
            <v>0</v>
          </cell>
          <cell r="P1233">
            <v>0</v>
          </cell>
        </row>
        <row r="1234">
          <cell r="G1234">
            <v>0</v>
          </cell>
          <cell r="K1234">
            <v>0</v>
          </cell>
          <cell r="O1234">
            <v>0</v>
          </cell>
          <cell r="P1234">
            <v>0</v>
          </cell>
        </row>
        <row r="1235">
          <cell r="G1235">
            <v>0</v>
          </cell>
          <cell r="K1235">
            <v>0</v>
          </cell>
          <cell r="O1235">
            <v>0</v>
          </cell>
          <cell r="P1235">
            <v>0</v>
          </cell>
        </row>
        <row r="1236">
          <cell r="G1236">
            <v>0</v>
          </cell>
          <cell r="K1236">
            <v>0</v>
          </cell>
          <cell r="O1236">
            <v>0</v>
          </cell>
          <cell r="P1236">
            <v>0</v>
          </cell>
        </row>
        <row r="1237">
          <cell r="G1237">
            <v>0</v>
          </cell>
          <cell r="K1237">
            <v>0</v>
          </cell>
          <cell r="O1237">
            <v>0</v>
          </cell>
          <cell r="P1237">
            <v>0</v>
          </cell>
        </row>
        <row r="1238">
          <cell r="G1238">
            <v>0</v>
          </cell>
          <cell r="K1238">
            <v>0</v>
          </cell>
          <cell r="O1238">
            <v>0</v>
          </cell>
          <cell r="P1238">
            <v>0</v>
          </cell>
        </row>
        <row r="1239">
          <cell r="G1239">
            <v>0</v>
          </cell>
          <cell r="K1239">
            <v>0</v>
          </cell>
          <cell r="O1239">
            <v>0</v>
          </cell>
          <cell r="P1239">
            <v>0</v>
          </cell>
        </row>
        <row r="1240">
          <cell r="G1240">
            <v>0</v>
          </cell>
          <cell r="K1240">
            <v>0</v>
          </cell>
          <cell r="O1240">
            <v>0</v>
          </cell>
          <cell r="P1240">
            <v>0</v>
          </cell>
        </row>
        <row r="1241">
          <cell r="G1241">
            <v>0</v>
          </cell>
          <cell r="K1241">
            <v>0</v>
          </cell>
          <cell r="O1241">
            <v>0</v>
          </cell>
          <cell r="P1241">
            <v>0</v>
          </cell>
        </row>
        <row r="1242">
          <cell r="G1242">
            <v>0</v>
          </cell>
          <cell r="K1242">
            <v>0</v>
          </cell>
          <cell r="O1242">
            <v>0</v>
          </cell>
          <cell r="P1242">
            <v>0</v>
          </cell>
        </row>
        <row r="1243">
          <cell r="G1243">
            <v>0</v>
          </cell>
          <cell r="K1243">
            <v>0</v>
          </cell>
          <cell r="O1243">
            <v>0</v>
          </cell>
          <cell r="P1243">
            <v>0</v>
          </cell>
        </row>
        <row r="1244">
          <cell r="G1244">
            <v>0</v>
          </cell>
          <cell r="K1244">
            <v>0</v>
          </cell>
          <cell r="O1244">
            <v>0</v>
          </cell>
          <cell r="P1244">
            <v>0</v>
          </cell>
        </row>
        <row r="1245">
          <cell r="G1245">
            <v>0</v>
          </cell>
          <cell r="K1245">
            <v>0</v>
          </cell>
          <cell r="O1245">
            <v>0</v>
          </cell>
          <cell r="P1245">
            <v>0</v>
          </cell>
        </row>
        <row r="1246">
          <cell r="G1246">
            <v>0</v>
          </cell>
          <cell r="K1246">
            <v>0</v>
          </cell>
          <cell r="O1246">
            <v>0</v>
          </cell>
          <cell r="P1246">
            <v>0</v>
          </cell>
        </row>
        <row r="1247">
          <cell r="G1247">
            <v>0</v>
          </cell>
          <cell r="K1247">
            <v>0</v>
          </cell>
          <cell r="O1247">
            <v>0</v>
          </cell>
          <cell r="P1247">
            <v>0</v>
          </cell>
        </row>
        <row r="1248">
          <cell r="G1248">
            <v>0</v>
          </cell>
          <cell r="K1248">
            <v>0</v>
          </cell>
          <cell r="O1248">
            <v>0</v>
          </cell>
          <cell r="P1248">
            <v>0</v>
          </cell>
        </row>
        <row r="1249">
          <cell r="G1249">
            <v>0</v>
          </cell>
          <cell r="K1249">
            <v>0</v>
          </cell>
          <cell r="O1249">
            <v>0</v>
          </cell>
          <cell r="P1249">
            <v>0</v>
          </cell>
        </row>
        <row r="1250">
          <cell r="G1250">
            <v>0</v>
          </cell>
          <cell r="K1250">
            <v>0</v>
          </cell>
          <cell r="O1250">
            <v>0</v>
          </cell>
          <cell r="P1250">
            <v>0</v>
          </cell>
        </row>
        <row r="1251">
          <cell r="G1251">
            <v>0</v>
          </cell>
          <cell r="K1251">
            <v>0</v>
          </cell>
          <cell r="O1251">
            <v>0</v>
          </cell>
          <cell r="P1251">
            <v>0</v>
          </cell>
        </row>
        <row r="1252">
          <cell r="G1252">
            <v>0</v>
          </cell>
          <cell r="K1252">
            <v>0</v>
          </cell>
          <cell r="O1252">
            <v>0</v>
          </cell>
          <cell r="P1252">
            <v>0</v>
          </cell>
        </row>
        <row r="1253">
          <cell r="G1253">
            <v>0</v>
          </cell>
          <cell r="K1253">
            <v>0</v>
          </cell>
          <cell r="O1253">
            <v>0</v>
          </cell>
          <cell r="P1253">
            <v>0</v>
          </cell>
        </row>
        <row r="1254">
          <cell r="G1254">
            <v>0</v>
          </cell>
          <cell r="K1254">
            <v>0</v>
          </cell>
          <cell r="O1254">
            <v>0</v>
          </cell>
          <cell r="P1254">
            <v>0</v>
          </cell>
        </row>
        <row r="1255">
          <cell r="G1255">
            <v>0</v>
          </cell>
          <cell r="K1255">
            <v>0</v>
          </cell>
          <cell r="O1255">
            <v>0</v>
          </cell>
          <cell r="P1255">
            <v>0</v>
          </cell>
        </row>
        <row r="1256">
          <cell r="G1256">
            <v>0</v>
          </cell>
          <cell r="K1256">
            <v>0</v>
          </cell>
          <cell r="O1256">
            <v>0</v>
          </cell>
          <cell r="P1256">
            <v>0</v>
          </cell>
        </row>
        <row r="1257">
          <cell r="G1257">
            <v>0</v>
          </cell>
          <cell r="K1257">
            <v>0</v>
          </cell>
          <cell r="O1257">
            <v>0</v>
          </cell>
          <cell r="P1257">
            <v>0</v>
          </cell>
        </row>
        <row r="1258">
          <cell r="G1258">
            <v>0</v>
          </cell>
          <cell r="K1258">
            <v>0</v>
          </cell>
          <cell r="O1258">
            <v>0</v>
          </cell>
          <cell r="P1258">
            <v>0</v>
          </cell>
        </row>
        <row r="1259">
          <cell r="G1259">
            <v>0</v>
          </cell>
          <cell r="K1259">
            <v>0</v>
          </cell>
          <cell r="O1259">
            <v>0</v>
          </cell>
          <cell r="P1259">
            <v>0</v>
          </cell>
        </row>
        <row r="1260">
          <cell r="G1260">
            <v>0</v>
          </cell>
          <cell r="K1260">
            <v>0</v>
          </cell>
          <cell r="O1260">
            <v>0</v>
          </cell>
          <cell r="P1260">
            <v>0</v>
          </cell>
        </row>
        <row r="1261">
          <cell r="G1261">
            <v>0</v>
          </cell>
          <cell r="K1261">
            <v>0</v>
          </cell>
          <cell r="O1261">
            <v>0</v>
          </cell>
          <cell r="P1261">
            <v>0</v>
          </cell>
        </row>
        <row r="1262">
          <cell r="G1262">
            <v>0</v>
          </cell>
          <cell r="K1262">
            <v>0</v>
          </cell>
          <cell r="O1262">
            <v>0</v>
          </cell>
          <cell r="P1262">
            <v>0</v>
          </cell>
        </row>
        <row r="1263">
          <cell r="G1263">
            <v>0</v>
          </cell>
          <cell r="K1263">
            <v>0</v>
          </cell>
          <cell r="O1263">
            <v>0</v>
          </cell>
          <cell r="P1263">
            <v>0</v>
          </cell>
        </row>
        <row r="1264">
          <cell r="G1264">
            <v>0</v>
          </cell>
          <cell r="K1264">
            <v>0</v>
          </cell>
          <cell r="O1264">
            <v>0</v>
          </cell>
          <cell r="P1264">
            <v>0</v>
          </cell>
        </row>
        <row r="1265">
          <cell r="G1265">
            <v>0</v>
          </cell>
          <cell r="K1265">
            <v>0</v>
          </cell>
          <cell r="O1265">
            <v>0</v>
          </cell>
          <cell r="P1265">
            <v>0</v>
          </cell>
        </row>
        <row r="1266">
          <cell r="G1266">
            <v>0</v>
          </cell>
          <cell r="K1266">
            <v>0</v>
          </cell>
          <cell r="O1266">
            <v>0</v>
          </cell>
          <cell r="P1266">
            <v>0</v>
          </cell>
        </row>
        <row r="1267">
          <cell r="G1267">
            <v>0</v>
          </cell>
          <cell r="K1267">
            <v>0</v>
          </cell>
          <cell r="O1267">
            <v>0</v>
          </cell>
          <cell r="P1267">
            <v>0</v>
          </cell>
        </row>
        <row r="1268">
          <cell r="G1268">
            <v>0</v>
          </cell>
          <cell r="K1268">
            <v>0</v>
          </cell>
          <cell r="O1268">
            <v>0</v>
          </cell>
          <cell r="P1268">
            <v>0</v>
          </cell>
        </row>
        <row r="1269">
          <cell r="G1269">
            <v>0</v>
          </cell>
          <cell r="K1269">
            <v>0</v>
          </cell>
          <cell r="O1269">
            <v>0</v>
          </cell>
          <cell r="P1269">
            <v>0</v>
          </cell>
        </row>
        <row r="1270">
          <cell r="G1270">
            <v>0</v>
          </cell>
          <cell r="K1270">
            <v>0</v>
          </cell>
          <cell r="O1270">
            <v>0</v>
          </cell>
          <cell r="P1270">
            <v>0</v>
          </cell>
        </row>
        <row r="1271">
          <cell r="G1271">
            <v>0</v>
          </cell>
          <cell r="K1271">
            <v>0</v>
          </cell>
          <cell r="O1271">
            <v>0</v>
          </cell>
          <cell r="P1271">
            <v>0</v>
          </cell>
        </row>
        <row r="1272">
          <cell r="G1272">
            <v>0</v>
          </cell>
          <cell r="K1272">
            <v>0</v>
          </cell>
          <cell r="O1272">
            <v>0</v>
          </cell>
          <cell r="P1272">
            <v>0</v>
          </cell>
        </row>
        <row r="1273">
          <cell r="G1273">
            <v>0</v>
          </cell>
          <cell r="K1273">
            <v>0</v>
          </cell>
          <cell r="O1273">
            <v>0</v>
          </cell>
          <cell r="P1273">
            <v>0</v>
          </cell>
        </row>
        <row r="1274">
          <cell r="G1274">
            <v>0</v>
          </cell>
          <cell r="K1274">
            <v>0</v>
          </cell>
          <cell r="O1274">
            <v>0</v>
          </cell>
          <cell r="P1274">
            <v>0</v>
          </cell>
        </row>
        <row r="1275">
          <cell r="G1275">
            <v>0</v>
          </cell>
          <cell r="K1275">
            <v>0</v>
          </cell>
          <cell r="O1275">
            <v>0</v>
          </cell>
          <cell r="P1275">
            <v>0</v>
          </cell>
        </row>
        <row r="1276">
          <cell r="G1276">
            <v>0</v>
          </cell>
          <cell r="K1276">
            <v>0</v>
          </cell>
          <cell r="O1276">
            <v>0</v>
          </cell>
          <cell r="P1276">
            <v>0</v>
          </cell>
        </row>
        <row r="1277">
          <cell r="G1277">
            <v>0</v>
          </cell>
          <cell r="K1277">
            <v>0</v>
          </cell>
          <cell r="O1277">
            <v>0</v>
          </cell>
          <cell r="P1277">
            <v>0</v>
          </cell>
        </row>
        <row r="1278">
          <cell r="G1278">
            <v>0</v>
          </cell>
          <cell r="K1278">
            <v>0</v>
          </cell>
          <cell r="O1278">
            <v>0</v>
          </cell>
          <cell r="P1278">
            <v>0</v>
          </cell>
        </row>
        <row r="1279">
          <cell r="G1279">
            <v>0</v>
          </cell>
          <cell r="K1279">
            <v>0</v>
          </cell>
          <cell r="O1279">
            <v>0</v>
          </cell>
          <cell r="P1279">
            <v>0</v>
          </cell>
        </row>
        <row r="1280">
          <cell r="G1280">
            <v>0</v>
          </cell>
          <cell r="K1280">
            <v>0</v>
          </cell>
          <cell r="O1280">
            <v>0</v>
          </cell>
          <cell r="P1280">
            <v>0</v>
          </cell>
        </row>
        <row r="1281">
          <cell r="G1281">
            <v>0</v>
          </cell>
          <cell r="K1281">
            <v>0</v>
          </cell>
          <cell r="O1281">
            <v>0</v>
          </cell>
          <cell r="P1281">
            <v>0</v>
          </cell>
        </row>
        <row r="1282">
          <cell r="G1282">
            <v>0</v>
          </cell>
          <cell r="K1282">
            <v>0</v>
          </cell>
          <cell r="O1282">
            <v>0</v>
          </cell>
          <cell r="P1282">
            <v>0</v>
          </cell>
        </row>
        <row r="1283">
          <cell r="G1283">
            <v>0</v>
          </cell>
          <cell r="K1283">
            <v>0</v>
          </cell>
          <cell r="O1283">
            <v>0</v>
          </cell>
          <cell r="P1283">
            <v>0</v>
          </cell>
        </row>
        <row r="1284">
          <cell r="G1284">
            <v>0</v>
          </cell>
          <cell r="K1284">
            <v>0</v>
          </cell>
          <cell r="O1284">
            <v>0</v>
          </cell>
          <cell r="P1284">
            <v>0</v>
          </cell>
        </row>
        <row r="1285">
          <cell r="G1285">
            <v>0</v>
          </cell>
          <cell r="K1285">
            <v>0</v>
          </cell>
          <cell r="O1285">
            <v>0</v>
          </cell>
          <cell r="P1285">
            <v>0</v>
          </cell>
        </row>
        <row r="1286">
          <cell r="G1286">
            <v>0</v>
          </cell>
          <cell r="K1286">
            <v>0</v>
          </cell>
          <cell r="O1286">
            <v>0</v>
          </cell>
          <cell r="P1286">
            <v>0</v>
          </cell>
        </row>
        <row r="1287">
          <cell r="G1287">
            <v>0</v>
          </cell>
          <cell r="K1287">
            <v>0</v>
          </cell>
          <cell r="O1287">
            <v>0</v>
          </cell>
          <cell r="P1287">
            <v>0</v>
          </cell>
        </row>
        <row r="1288">
          <cell r="G1288">
            <v>0</v>
          </cell>
          <cell r="K1288">
            <v>0</v>
          </cell>
          <cell r="O1288">
            <v>0</v>
          </cell>
          <cell r="P1288">
            <v>0</v>
          </cell>
        </row>
        <row r="1289">
          <cell r="G1289">
            <v>0</v>
          </cell>
          <cell r="K1289">
            <v>0</v>
          </cell>
          <cell r="O1289">
            <v>0</v>
          </cell>
          <cell r="P1289">
            <v>0</v>
          </cell>
        </row>
        <row r="1290">
          <cell r="G1290">
            <v>0</v>
          </cell>
          <cell r="K1290">
            <v>0</v>
          </cell>
          <cell r="O1290">
            <v>0</v>
          </cell>
          <cell r="P1290">
            <v>0</v>
          </cell>
        </row>
        <row r="1291">
          <cell r="G1291">
            <v>0</v>
          </cell>
          <cell r="K1291">
            <v>0</v>
          </cell>
          <cell r="O1291">
            <v>0</v>
          </cell>
          <cell r="P1291">
            <v>0</v>
          </cell>
        </row>
        <row r="1292">
          <cell r="G1292">
            <v>0</v>
          </cell>
          <cell r="K1292">
            <v>0</v>
          </cell>
          <cell r="O1292">
            <v>0</v>
          </cell>
          <cell r="P1292">
            <v>0</v>
          </cell>
        </row>
        <row r="1293">
          <cell r="G1293">
            <v>0</v>
          </cell>
          <cell r="K1293">
            <v>0</v>
          </cell>
          <cell r="O1293">
            <v>0</v>
          </cell>
          <cell r="P1293">
            <v>0</v>
          </cell>
        </row>
        <row r="1294">
          <cell r="G1294">
            <v>0</v>
          </cell>
          <cell r="K1294">
            <v>0</v>
          </cell>
          <cell r="O1294">
            <v>0</v>
          </cell>
          <cell r="P1294">
            <v>0</v>
          </cell>
        </row>
        <row r="1295">
          <cell r="G1295">
            <v>0</v>
          </cell>
          <cell r="K1295">
            <v>0</v>
          </cell>
          <cell r="O1295">
            <v>0</v>
          </cell>
          <cell r="P1295">
            <v>0</v>
          </cell>
        </row>
        <row r="1296">
          <cell r="G1296">
            <v>0</v>
          </cell>
          <cell r="K1296">
            <v>0</v>
          </cell>
          <cell r="O1296">
            <v>0</v>
          </cell>
          <cell r="P1296">
            <v>0</v>
          </cell>
        </row>
        <row r="1297">
          <cell r="G1297">
            <v>0</v>
          </cell>
          <cell r="K1297">
            <v>0</v>
          </cell>
          <cell r="O1297">
            <v>0</v>
          </cell>
          <cell r="P1297">
            <v>0</v>
          </cell>
        </row>
        <row r="1298">
          <cell r="G1298">
            <v>0</v>
          </cell>
          <cell r="K1298">
            <v>0</v>
          </cell>
          <cell r="O1298">
            <v>0</v>
          </cell>
          <cell r="P1298">
            <v>0</v>
          </cell>
        </row>
        <row r="1299">
          <cell r="G1299">
            <v>0</v>
          </cell>
          <cell r="K1299">
            <v>0</v>
          </cell>
          <cell r="O1299">
            <v>0</v>
          </cell>
          <cell r="P1299">
            <v>0</v>
          </cell>
        </row>
        <row r="1300">
          <cell r="G1300">
            <v>0</v>
          </cell>
          <cell r="K1300">
            <v>0</v>
          </cell>
          <cell r="O1300">
            <v>0</v>
          </cell>
          <cell r="P1300">
            <v>0</v>
          </cell>
        </row>
        <row r="1301">
          <cell r="G1301">
            <v>0</v>
          </cell>
          <cell r="K1301">
            <v>0</v>
          </cell>
          <cell r="O1301">
            <v>0</v>
          </cell>
          <cell r="P1301">
            <v>0</v>
          </cell>
        </row>
        <row r="1302">
          <cell r="G1302">
            <v>0</v>
          </cell>
          <cell r="K1302">
            <v>0</v>
          </cell>
          <cell r="O1302">
            <v>0</v>
          </cell>
          <cell r="P1302">
            <v>0</v>
          </cell>
        </row>
        <row r="1303">
          <cell r="G1303">
            <v>0</v>
          </cell>
          <cell r="K1303">
            <v>0</v>
          </cell>
          <cell r="O1303">
            <v>0</v>
          </cell>
          <cell r="P1303">
            <v>0</v>
          </cell>
        </row>
        <row r="1304">
          <cell r="G1304">
            <v>0</v>
          </cell>
          <cell r="K1304">
            <v>0</v>
          </cell>
          <cell r="O1304">
            <v>0</v>
          </cell>
          <cell r="P1304">
            <v>0</v>
          </cell>
        </row>
        <row r="1305">
          <cell r="G1305">
            <v>0</v>
          </cell>
          <cell r="K1305">
            <v>0</v>
          </cell>
          <cell r="O1305">
            <v>0</v>
          </cell>
          <cell r="P1305">
            <v>0</v>
          </cell>
        </row>
        <row r="1306">
          <cell r="G1306">
            <v>0</v>
          </cell>
          <cell r="K1306">
            <v>0</v>
          </cell>
          <cell r="O1306">
            <v>0</v>
          </cell>
          <cell r="P1306">
            <v>0</v>
          </cell>
        </row>
        <row r="1307">
          <cell r="G1307">
            <v>0</v>
          </cell>
          <cell r="K1307">
            <v>0</v>
          </cell>
          <cell r="O1307">
            <v>0</v>
          </cell>
          <cell r="P1307">
            <v>0</v>
          </cell>
        </row>
        <row r="1308">
          <cell r="G1308">
            <v>0</v>
          </cell>
          <cell r="K1308">
            <v>0</v>
          </cell>
          <cell r="O1308">
            <v>0</v>
          </cell>
          <cell r="P1308">
            <v>0</v>
          </cell>
        </row>
        <row r="1309">
          <cell r="G1309">
            <v>0</v>
          </cell>
          <cell r="K1309">
            <v>0</v>
          </cell>
          <cell r="O1309">
            <v>0</v>
          </cell>
          <cell r="P1309">
            <v>0</v>
          </cell>
        </row>
        <row r="1310">
          <cell r="G1310">
            <v>0</v>
          </cell>
          <cell r="K1310">
            <v>0</v>
          </cell>
          <cell r="O1310">
            <v>0</v>
          </cell>
          <cell r="P1310">
            <v>0</v>
          </cell>
        </row>
        <row r="1311">
          <cell r="G1311">
            <v>0</v>
          </cell>
          <cell r="K1311">
            <v>0</v>
          </cell>
          <cell r="O1311">
            <v>0</v>
          </cell>
          <cell r="P1311">
            <v>0</v>
          </cell>
        </row>
        <row r="1312">
          <cell r="G1312">
            <v>0</v>
          </cell>
          <cell r="K1312">
            <v>0</v>
          </cell>
          <cell r="O1312">
            <v>0</v>
          </cell>
          <cell r="P1312">
            <v>0</v>
          </cell>
        </row>
        <row r="1313">
          <cell r="G1313">
            <v>0</v>
          </cell>
          <cell r="K1313">
            <v>0</v>
          </cell>
          <cell r="O1313">
            <v>0</v>
          </cell>
          <cell r="P1313">
            <v>0</v>
          </cell>
        </row>
        <row r="1314">
          <cell r="G1314">
            <v>0</v>
          </cell>
          <cell r="K1314">
            <v>0</v>
          </cell>
          <cell r="O1314">
            <v>0</v>
          </cell>
          <cell r="P1314">
            <v>0</v>
          </cell>
        </row>
        <row r="1315">
          <cell r="G1315">
            <v>0</v>
          </cell>
          <cell r="K1315">
            <v>0</v>
          </cell>
          <cell r="O1315">
            <v>0</v>
          </cell>
          <cell r="P1315">
            <v>0</v>
          </cell>
        </row>
        <row r="1316">
          <cell r="G1316">
            <v>0</v>
          </cell>
          <cell r="K1316">
            <v>0</v>
          </cell>
          <cell r="O1316">
            <v>0</v>
          </cell>
          <cell r="P1316">
            <v>0</v>
          </cell>
        </row>
        <row r="1317">
          <cell r="G1317">
            <v>0</v>
          </cell>
          <cell r="K1317">
            <v>0</v>
          </cell>
          <cell r="O1317">
            <v>0</v>
          </cell>
          <cell r="P1317">
            <v>0</v>
          </cell>
        </row>
        <row r="1318">
          <cell r="G1318">
            <v>0</v>
          </cell>
          <cell r="K1318">
            <v>0</v>
          </cell>
          <cell r="O1318">
            <v>0</v>
          </cell>
          <cell r="P1318">
            <v>0</v>
          </cell>
        </row>
        <row r="1319">
          <cell r="G1319">
            <v>0</v>
          </cell>
          <cell r="K1319">
            <v>0</v>
          </cell>
          <cell r="O1319">
            <v>0</v>
          </cell>
          <cell r="P1319">
            <v>0</v>
          </cell>
        </row>
        <row r="1320">
          <cell r="G1320">
            <v>0</v>
          </cell>
          <cell r="K1320">
            <v>0</v>
          </cell>
          <cell r="O1320">
            <v>0</v>
          </cell>
          <cell r="P1320">
            <v>0</v>
          </cell>
        </row>
        <row r="1321">
          <cell r="G1321">
            <v>0</v>
          </cell>
          <cell r="K1321">
            <v>0</v>
          </cell>
          <cell r="O1321">
            <v>0</v>
          </cell>
          <cell r="P1321">
            <v>0</v>
          </cell>
        </row>
        <row r="1322">
          <cell r="G1322">
            <v>0</v>
          </cell>
          <cell r="K1322">
            <v>0</v>
          </cell>
          <cell r="O1322">
            <v>0</v>
          </cell>
          <cell r="P1322">
            <v>0</v>
          </cell>
        </row>
        <row r="1323">
          <cell r="G1323">
            <v>0</v>
          </cell>
          <cell r="K1323">
            <v>0</v>
          </cell>
          <cell r="O1323">
            <v>0</v>
          </cell>
          <cell r="P1323">
            <v>0</v>
          </cell>
        </row>
        <row r="1324">
          <cell r="G1324">
            <v>0</v>
          </cell>
          <cell r="K1324">
            <v>0</v>
          </cell>
          <cell r="O1324">
            <v>0</v>
          </cell>
          <cell r="P1324">
            <v>0</v>
          </cell>
        </row>
        <row r="1325">
          <cell r="G1325">
            <v>0</v>
          </cell>
          <cell r="K1325">
            <v>0</v>
          </cell>
          <cell r="O1325">
            <v>0</v>
          </cell>
          <cell r="P1325">
            <v>0</v>
          </cell>
        </row>
        <row r="1326">
          <cell r="G1326">
            <v>0</v>
          </cell>
          <cell r="K1326">
            <v>0</v>
          </cell>
          <cell r="O1326">
            <v>0</v>
          </cell>
          <cell r="P1326">
            <v>0</v>
          </cell>
        </row>
        <row r="1327">
          <cell r="G1327">
            <v>0</v>
          </cell>
          <cell r="K1327">
            <v>0</v>
          </cell>
          <cell r="O1327">
            <v>0</v>
          </cell>
          <cell r="P1327">
            <v>0</v>
          </cell>
        </row>
        <row r="1328">
          <cell r="G1328">
            <v>0</v>
          </cell>
          <cell r="K1328">
            <v>0</v>
          </cell>
          <cell r="O1328">
            <v>0</v>
          </cell>
          <cell r="P1328">
            <v>0</v>
          </cell>
        </row>
        <row r="1329">
          <cell r="G1329">
            <v>0</v>
          </cell>
          <cell r="K1329">
            <v>0</v>
          </cell>
          <cell r="O1329">
            <v>0</v>
          </cell>
          <cell r="P1329">
            <v>0</v>
          </cell>
        </row>
        <row r="1330">
          <cell r="G1330">
            <v>0</v>
          </cell>
          <cell r="K1330">
            <v>0</v>
          </cell>
          <cell r="O1330">
            <v>0</v>
          </cell>
          <cell r="P1330">
            <v>0</v>
          </cell>
        </row>
        <row r="1331">
          <cell r="G1331">
            <v>0</v>
          </cell>
          <cell r="K1331">
            <v>0</v>
          </cell>
          <cell r="O1331">
            <v>0</v>
          </cell>
          <cell r="P1331">
            <v>0</v>
          </cell>
        </row>
        <row r="1332">
          <cell r="G1332">
            <v>0</v>
          </cell>
          <cell r="K1332">
            <v>0</v>
          </cell>
          <cell r="O1332">
            <v>0</v>
          </cell>
          <cell r="P1332">
            <v>0</v>
          </cell>
        </row>
        <row r="1333">
          <cell r="G1333">
            <v>0</v>
          </cell>
          <cell r="K1333">
            <v>0</v>
          </cell>
          <cell r="O1333">
            <v>0</v>
          </cell>
          <cell r="P1333">
            <v>0</v>
          </cell>
        </row>
        <row r="1334">
          <cell r="G1334">
            <v>0</v>
          </cell>
          <cell r="K1334">
            <v>0</v>
          </cell>
          <cell r="O1334">
            <v>0</v>
          </cell>
          <cell r="P1334">
            <v>0</v>
          </cell>
        </row>
        <row r="1335">
          <cell r="G1335">
            <v>0</v>
          </cell>
          <cell r="K1335">
            <v>0</v>
          </cell>
          <cell r="O1335">
            <v>0</v>
          </cell>
          <cell r="P1335">
            <v>0</v>
          </cell>
        </row>
        <row r="1336">
          <cell r="G1336">
            <v>0</v>
          </cell>
          <cell r="K1336">
            <v>0</v>
          </cell>
          <cell r="O1336">
            <v>0</v>
          </cell>
          <cell r="P1336">
            <v>0</v>
          </cell>
        </row>
        <row r="1337">
          <cell r="G1337">
            <v>0</v>
          </cell>
          <cell r="K1337">
            <v>0</v>
          </cell>
          <cell r="O1337">
            <v>0</v>
          </cell>
          <cell r="P1337">
            <v>0</v>
          </cell>
        </row>
        <row r="1338">
          <cell r="G1338">
            <v>0</v>
          </cell>
          <cell r="K1338">
            <v>0</v>
          </cell>
          <cell r="O1338">
            <v>0</v>
          </cell>
          <cell r="P1338">
            <v>0</v>
          </cell>
        </row>
        <row r="1339">
          <cell r="G1339">
            <v>0</v>
          </cell>
          <cell r="K1339">
            <v>0</v>
          </cell>
          <cell r="O1339">
            <v>0</v>
          </cell>
          <cell r="P1339">
            <v>0</v>
          </cell>
        </row>
        <row r="1340">
          <cell r="G1340">
            <v>0</v>
          </cell>
          <cell r="K1340">
            <v>0</v>
          </cell>
          <cell r="O1340">
            <v>0</v>
          </cell>
          <cell r="P1340">
            <v>0</v>
          </cell>
        </row>
        <row r="1341">
          <cell r="G1341">
            <v>0</v>
          </cell>
          <cell r="K1341">
            <v>0</v>
          </cell>
          <cell r="O1341">
            <v>0</v>
          </cell>
          <cell r="P1341">
            <v>0</v>
          </cell>
        </row>
        <row r="1342">
          <cell r="G1342">
            <v>0</v>
          </cell>
          <cell r="K1342">
            <v>0</v>
          </cell>
          <cell r="O1342">
            <v>0</v>
          </cell>
          <cell r="P1342">
            <v>0</v>
          </cell>
        </row>
        <row r="1343">
          <cell r="G1343">
            <v>0</v>
          </cell>
          <cell r="K1343">
            <v>0</v>
          </cell>
          <cell r="O1343">
            <v>0</v>
          </cell>
          <cell r="P1343">
            <v>0</v>
          </cell>
        </row>
        <row r="1344">
          <cell r="G1344">
            <v>0</v>
          </cell>
          <cell r="K1344">
            <v>0</v>
          </cell>
          <cell r="O1344">
            <v>0</v>
          </cell>
          <cell r="P1344">
            <v>0</v>
          </cell>
        </row>
        <row r="1345">
          <cell r="G1345">
            <v>0</v>
          </cell>
          <cell r="K1345">
            <v>0</v>
          </cell>
          <cell r="O1345">
            <v>0</v>
          </cell>
          <cell r="P1345">
            <v>0</v>
          </cell>
        </row>
        <row r="1346">
          <cell r="G1346">
            <v>0</v>
          </cell>
          <cell r="K1346">
            <v>0</v>
          </cell>
          <cell r="O1346">
            <v>0</v>
          </cell>
          <cell r="P1346">
            <v>0</v>
          </cell>
        </row>
        <row r="1347">
          <cell r="G1347">
            <v>0</v>
          </cell>
          <cell r="K1347">
            <v>0</v>
          </cell>
          <cell r="O1347">
            <v>0</v>
          </cell>
          <cell r="P1347">
            <v>0</v>
          </cell>
        </row>
        <row r="1348">
          <cell r="G1348">
            <v>0</v>
          </cell>
          <cell r="K1348">
            <v>0</v>
          </cell>
          <cell r="O1348">
            <v>0</v>
          </cell>
          <cell r="P1348">
            <v>0</v>
          </cell>
        </row>
        <row r="1349">
          <cell r="G1349">
            <v>0</v>
          </cell>
          <cell r="K1349">
            <v>0</v>
          </cell>
          <cell r="O1349">
            <v>0</v>
          </cell>
          <cell r="P1349">
            <v>0</v>
          </cell>
        </row>
        <row r="1350">
          <cell r="G1350">
            <v>0</v>
          </cell>
          <cell r="K1350">
            <v>0</v>
          </cell>
          <cell r="O1350">
            <v>0</v>
          </cell>
          <cell r="P1350">
            <v>0</v>
          </cell>
        </row>
        <row r="1351">
          <cell r="G1351">
            <v>0</v>
          </cell>
          <cell r="K1351">
            <v>0</v>
          </cell>
          <cell r="O1351">
            <v>0</v>
          </cell>
          <cell r="P1351">
            <v>0</v>
          </cell>
        </row>
        <row r="1352">
          <cell r="G1352">
            <v>0</v>
          </cell>
          <cell r="K1352">
            <v>0</v>
          </cell>
          <cell r="O1352">
            <v>0</v>
          </cell>
          <cell r="P1352">
            <v>0</v>
          </cell>
        </row>
        <row r="1353">
          <cell r="G1353">
            <v>0</v>
          </cell>
          <cell r="K1353">
            <v>0</v>
          </cell>
          <cell r="O1353">
            <v>0</v>
          </cell>
          <cell r="P1353">
            <v>0</v>
          </cell>
        </row>
        <row r="1354">
          <cell r="G1354">
            <v>0</v>
          </cell>
          <cell r="K1354">
            <v>0</v>
          </cell>
          <cell r="O1354">
            <v>0</v>
          </cell>
          <cell r="P1354">
            <v>0</v>
          </cell>
        </row>
        <row r="1355">
          <cell r="G1355">
            <v>0</v>
          </cell>
          <cell r="K1355">
            <v>0</v>
          </cell>
          <cell r="O1355">
            <v>0</v>
          </cell>
          <cell r="P1355">
            <v>0</v>
          </cell>
        </row>
        <row r="1356">
          <cell r="G1356">
            <v>0</v>
          </cell>
          <cell r="K1356">
            <v>0</v>
          </cell>
          <cell r="O1356">
            <v>0</v>
          </cell>
          <cell r="P1356">
            <v>0</v>
          </cell>
        </row>
        <row r="1357">
          <cell r="G1357">
            <v>0</v>
          </cell>
          <cell r="K1357">
            <v>0</v>
          </cell>
          <cell r="O1357">
            <v>0</v>
          </cell>
          <cell r="P1357">
            <v>0</v>
          </cell>
        </row>
        <row r="1358">
          <cell r="G1358">
            <v>0</v>
          </cell>
          <cell r="K1358">
            <v>0</v>
          </cell>
          <cell r="O1358">
            <v>0</v>
          </cell>
          <cell r="P1358">
            <v>0</v>
          </cell>
        </row>
        <row r="1359">
          <cell r="G1359">
            <v>0</v>
          </cell>
          <cell r="K1359">
            <v>0</v>
          </cell>
          <cell r="O1359">
            <v>0</v>
          </cell>
          <cell r="P1359">
            <v>0</v>
          </cell>
        </row>
        <row r="1360">
          <cell r="G1360">
            <v>0</v>
          </cell>
          <cell r="K1360">
            <v>0</v>
          </cell>
          <cell r="O1360">
            <v>0</v>
          </cell>
          <cell r="P1360">
            <v>0</v>
          </cell>
        </row>
        <row r="1361">
          <cell r="G1361">
            <v>0</v>
          </cell>
          <cell r="K1361">
            <v>0</v>
          </cell>
          <cell r="O1361">
            <v>0</v>
          </cell>
          <cell r="P1361">
            <v>0</v>
          </cell>
        </row>
        <row r="1362">
          <cell r="G1362">
            <v>0</v>
          </cell>
          <cell r="K1362">
            <v>0</v>
          </cell>
          <cell r="O1362">
            <v>0</v>
          </cell>
          <cell r="P1362">
            <v>0</v>
          </cell>
        </row>
        <row r="1363">
          <cell r="G1363">
            <v>0</v>
          </cell>
          <cell r="K1363">
            <v>0</v>
          </cell>
          <cell r="O1363">
            <v>0</v>
          </cell>
          <cell r="P1363">
            <v>0</v>
          </cell>
        </row>
        <row r="1364">
          <cell r="G1364">
            <v>0</v>
          </cell>
          <cell r="K1364">
            <v>0</v>
          </cell>
          <cell r="O1364">
            <v>0</v>
          </cell>
          <cell r="P1364">
            <v>0</v>
          </cell>
        </row>
        <row r="1365">
          <cell r="G1365">
            <v>0</v>
          </cell>
          <cell r="K1365">
            <v>0</v>
          </cell>
          <cell r="O1365">
            <v>0</v>
          </cell>
          <cell r="P1365">
            <v>0</v>
          </cell>
        </row>
        <row r="1366">
          <cell r="G1366">
            <v>0</v>
          </cell>
          <cell r="K1366">
            <v>0</v>
          </cell>
          <cell r="O1366">
            <v>0</v>
          </cell>
          <cell r="P1366">
            <v>0</v>
          </cell>
        </row>
        <row r="1367">
          <cell r="G1367">
            <v>0</v>
          </cell>
          <cell r="K1367">
            <v>0</v>
          </cell>
          <cell r="O1367">
            <v>0</v>
          </cell>
          <cell r="P1367">
            <v>0</v>
          </cell>
        </row>
        <row r="1368">
          <cell r="G1368">
            <v>0</v>
          </cell>
          <cell r="K1368">
            <v>0</v>
          </cell>
          <cell r="O1368">
            <v>0</v>
          </cell>
          <cell r="P1368">
            <v>0</v>
          </cell>
        </row>
        <row r="1369">
          <cell r="G1369">
            <v>0</v>
          </cell>
          <cell r="K1369">
            <v>0</v>
          </cell>
          <cell r="O1369">
            <v>0</v>
          </cell>
          <cell r="P1369">
            <v>0</v>
          </cell>
        </row>
        <row r="1370">
          <cell r="G1370">
            <v>0</v>
          </cell>
          <cell r="K1370">
            <v>0</v>
          </cell>
          <cell r="O1370">
            <v>0</v>
          </cell>
          <cell r="P1370">
            <v>0</v>
          </cell>
        </row>
        <row r="1371">
          <cell r="G1371">
            <v>0</v>
          </cell>
          <cell r="K1371">
            <v>0</v>
          </cell>
          <cell r="O1371">
            <v>0</v>
          </cell>
          <cell r="P1371">
            <v>0</v>
          </cell>
        </row>
        <row r="1372">
          <cell r="G1372">
            <v>0</v>
          </cell>
          <cell r="K1372">
            <v>0</v>
          </cell>
          <cell r="O1372">
            <v>0</v>
          </cell>
          <cell r="P1372">
            <v>0</v>
          </cell>
        </row>
        <row r="1373">
          <cell r="G1373">
            <v>0</v>
          </cell>
          <cell r="K1373">
            <v>0</v>
          </cell>
          <cell r="O1373">
            <v>0</v>
          </cell>
          <cell r="P1373">
            <v>0</v>
          </cell>
        </row>
        <row r="1374">
          <cell r="G1374">
            <v>0</v>
          </cell>
          <cell r="K1374">
            <v>0</v>
          </cell>
          <cell r="O1374">
            <v>0</v>
          </cell>
          <cell r="P1374">
            <v>0</v>
          </cell>
        </row>
        <row r="1375">
          <cell r="G1375">
            <v>0</v>
          </cell>
          <cell r="K1375">
            <v>0</v>
          </cell>
          <cell r="O1375">
            <v>0</v>
          </cell>
          <cell r="P1375">
            <v>0</v>
          </cell>
        </row>
        <row r="1376">
          <cell r="G1376">
            <v>0</v>
          </cell>
          <cell r="K1376">
            <v>0</v>
          </cell>
          <cell r="O1376">
            <v>0</v>
          </cell>
          <cell r="P1376">
            <v>0</v>
          </cell>
        </row>
        <row r="1377">
          <cell r="G1377">
            <v>0</v>
          </cell>
          <cell r="K1377">
            <v>0</v>
          </cell>
          <cell r="O1377">
            <v>0</v>
          </cell>
          <cell r="P1377">
            <v>0</v>
          </cell>
        </row>
        <row r="1378">
          <cell r="G1378">
            <v>0</v>
          </cell>
          <cell r="K1378">
            <v>0</v>
          </cell>
          <cell r="O1378">
            <v>0</v>
          </cell>
          <cell r="P1378">
            <v>0</v>
          </cell>
        </row>
        <row r="1379">
          <cell r="G1379">
            <v>0</v>
          </cell>
          <cell r="K1379">
            <v>0</v>
          </cell>
          <cell r="O1379">
            <v>0</v>
          </cell>
          <cell r="P1379">
            <v>0</v>
          </cell>
        </row>
        <row r="1380">
          <cell r="G1380">
            <v>0</v>
          </cell>
          <cell r="K1380">
            <v>0</v>
          </cell>
          <cell r="O1380">
            <v>0</v>
          </cell>
          <cell r="P1380">
            <v>0</v>
          </cell>
        </row>
        <row r="1381">
          <cell r="G1381">
            <v>0</v>
          </cell>
          <cell r="K1381">
            <v>0</v>
          </cell>
          <cell r="O1381">
            <v>0</v>
          </cell>
          <cell r="P1381">
            <v>0</v>
          </cell>
        </row>
        <row r="1382">
          <cell r="G1382">
            <v>0</v>
          </cell>
          <cell r="K1382">
            <v>0</v>
          </cell>
          <cell r="O1382">
            <v>0</v>
          </cell>
          <cell r="P1382">
            <v>0</v>
          </cell>
        </row>
        <row r="1383">
          <cell r="G1383">
            <v>0</v>
          </cell>
          <cell r="K1383">
            <v>0</v>
          </cell>
          <cell r="O1383">
            <v>0</v>
          </cell>
          <cell r="P1383">
            <v>0</v>
          </cell>
        </row>
        <row r="1384">
          <cell r="G1384">
            <v>0</v>
          </cell>
          <cell r="K1384">
            <v>0</v>
          </cell>
          <cell r="O1384">
            <v>0</v>
          </cell>
          <cell r="P1384">
            <v>0</v>
          </cell>
        </row>
        <row r="1385">
          <cell r="G1385">
            <v>0</v>
          </cell>
          <cell r="K1385">
            <v>0</v>
          </cell>
          <cell r="O1385">
            <v>0</v>
          </cell>
          <cell r="P1385">
            <v>0</v>
          </cell>
        </row>
        <row r="1386">
          <cell r="G1386">
            <v>0</v>
          </cell>
          <cell r="K1386">
            <v>0</v>
          </cell>
          <cell r="O1386">
            <v>0</v>
          </cell>
          <cell r="P1386">
            <v>0</v>
          </cell>
        </row>
        <row r="1387">
          <cell r="G1387">
            <v>0</v>
          </cell>
          <cell r="K1387">
            <v>0</v>
          </cell>
          <cell r="O1387">
            <v>0</v>
          </cell>
          <cell r="P1387">
            <v>0</v>
          </cell>
        </row>
        <row r="1388">
          <cell r="G1388">
            <v>0</v>
          </cell>
          <cell r="K1388">
            <v>0</v>
          </cell>
          <cell r="O1388">
            <v>0</v>
          </cell>
          <cell r="P1388">
            <v>0</v>
          </cell>
        </row>
        <row r="1389">
          <cell r="G1389">
            <v>0</v>
          </cell>
          <cell r="K1389">
            <v>0</v>
          </cell>
          <cell r="O1389">
            <v>0</v>
          </cell>
          <cell r="P1389">
            <v>0</v>
          </cell>
        </row>
        <row r="1390">
          <cell r="G1390">
            <v>0</v>
          </cell>
          <cell r="K1390">
            <v>0</v>
          </cell>
          <cell r="O1390">
            <v>0</v>
          </cell>
          <cell r="P1390">
            <v>0</v>
          </cell>
        </row>
        <row r="1391">
          <cell r="G1391">
            <v>0</v>
          </cell>
          <cell r="K1391">
            <v>0</v>
          </cell>
          <cell r="O1391">
            <v>0</v>
          </cell>
          <cell r="P1391">
            <v>0</v>
          </cell>
        </row>
        <row r="1392">
          <cell r="G1392">
            <v>0</v>
          </cell>
          <cell r="K1392">
            <v>0</v>
          </cell>
          <cell r="O1392">
            <v>0</v>
          </cell>
          <cell r="P1392">
            <v>0</v>
          </cell>
        </row>
        <row r="1393">
          <cell r="G1393">
            <v>0</v>
          </cell>
          <cell r="K1393">
            <v>0</v>
          </cell>
          <cell r="O1393">
            <v>0</v>
          </cell>
          <cell r="P1393">
            <v>0</v>
          </cell>
        </row>
        <row r="1394">
          <cell r="G1394">
            <v>0</v>
          </cell>
          <cell r="K1394">
            <v>0</v>
          </cell>
          <cell r="O1394">
            <v>0</v>
          </cell>
          <cell r="P1394">
            <v>0</v>
          </cell>
        </row>
        <row r="1395">
          <cell r="G1395">
            <v>0</v>
          </cell>
          <cell r="K1395">
            <v>0</v>
          </cell>
          <cell r="O1395">
            <v>0</v>
          </cell>
          <cell r="P1395">
            <v>0</v>
          </cell>
        </row>
        <row r="1396">
          <cell r="G1396">
            <v>0</v>
          </cell>
          <cell r="K1396">
            <v>0</v>
          </cell>
          <cell r="O1396">
            <v>0</v>
          </cell>
          <cell r="P1396">
            <v>0</v>
          </cell>
        </row>
        <row r="1397">
          <cell r="G1397">
            <v>0</v>
          </cell>
          <cell r="K1397">
            <v>0</v>
          </cell>
          <cell r="O1397">
            <v>0</v>
          </cell>
          <cell r="P1397">
            <v>0</v>
          </cell>
        </row>
        <row r="1398">
          <cell r="G1398">
            <v>0</v>
          </cell>
          <cell r="K1398">
            <v>0</v>
          </cell>
          <cell r="O1398">
            <v>0</v>
          </cell>
          <cell r="P1398">
            <v>0</v>
          </cell>
        </row>
        <row r="1399">
          <cell r="G1399">
            <v>0</v>
          </cell>
          <cell r="K1399">
            <v>0</v>
          </cell>
          <cell r="O1399">
            <v>0</v>
          </cell>
          <cell r="P1399">
            <v>0</v>
          </cell>
        </row>
        <row r="1400">
          <cell r="G1400">
            <v>0</v>
          </cell>
          <cell r="K1400">
            <v>0</v>
          </cell>
          <cell r="O1400">
            <v>0</v>
          </cell>
          <cell r="P1400">
            <v>0</v>
          </cell>
        </row>
        <row r="1401">
          <cell r="G1401">
            <v>0</v>
          </cell>
          <cell r="K1401">
            <v>0</v>
          </cell>
          <cell r="O1401">
            <v>0</v>
          </cell>
          <cell r="P1401">
            <v>0</v>
          </cell>
        </row>
        <row r="1402">
          <cell r="G1402">
            <v>0</v>
          </cell>
          <cell r="K1402">
            <v>0</v>
          </cell>
          <cell r="O1402">
            <v>0</v>
          </cell>
          <cell r="P1402">
            <v>0</v>
          </cell>
        </row>
        <row r="1403">
          <cell r="G1403">
            <v>0</v>
          </cell>
          <cell r="K1403">
            <v>0</v>
          </cell>
          <cell r="O1403">
            <v>0</v>
          </cell>
          <cell r="P1403">
            <v>0</v>
          </cell>
        </row>
        <row r="1404">
          <cell r="G1404">
            <v>0</v>
          </cell>
          <cell r="K1404">
            <v>0</v>
          </cell>
          <cell r="O1404">
            <v>0</v>
          </cell>
          <cell r="P1404">
            <v>0</v>
          </cell>
        </row>
        <row r="1405">
          <cell r="G1405">
            <v>0</v>
          </cell>
          <cell r="K1405">
            <v>0</v>
          </cell>
          <cell r="O1405">
            <v>0</v>
          </cell>
          <cell r="P1405">
            <v>0</v>
          </cell>
        </row>
        <row r="1406">
          <cell r="G1406">
            <v>0</v>
          </cell>
          <cell r="K1406">
            <v>0</v>
          </cell>
          <cell r="O1406">
            <v>0</v>
          </cell>
          <cell r="P1406">
            <v>0</v>
          </cell>
        </row>
        <row r="1407">
          <cell r="G1407">
            <v>0</v>
          </cell>
          <cell r="K1407">
            <v>0</v>
          </cell>
          <cell r="O1407">
            <v>0</v>
          </cell>
          <cell r="P1407">
            <v>0</v>
          </cell>
        </row>
        <row r="1408">
          <cell r="G1408">
            <v>0</v>
          </cell>
          <cell r="K1408">
            <v>0</v>
          </cell>
          <cell r="O1408">
            <v>0</v>
          </cell>
          <cell r="P1408">
            <v>0</v>
          </cell>
        </row>
        <row r="1409">
          <cell r="G1409">
            <v>0</v>
          </cell>
          <cell r="K1409">
            <v>0</v>
          </cell>
          <cell r="O1409">
            <v>0</v>
          </cell>
          <cell r="P1409">
            <v>0</v>
          </cell>
        </row>
        <row r="1410">
          <cell r="G1410">
            <v>0</v>
          </cell>
          <cell r="K1410">
            <v>0</v>
          </cell>
          <cell r="O1410">
            <v>0</v>
          </cell>
          <cell r="P1410">
            <v>0</v>
          </cell>
        </row>
        <row r="1411">
          <cell r="G1411">
            <v>0</v>
          </cell>
          <cell r="K1411">
            <v>0</v>
          </cell>
          <cell r="O1411">
            <v>0</v>
          </cell>
          <cell r="P1411">
            <v>0</v>
          </cell>
        </row>
        <row r="1412">
          <cell r="G1412">
            <v>0</v>
          </cell>
          <cell r="K1412">
            <v>0</v>
          </cell>
          <cell r="O1412">
            <v>0</v>
          </cell>
          <cell r="P1412">
            <v>0</v>
          </cell>
        </row>
        <row r="1413">
          <cell r="G1413">
            <v>0</v>
          </cell>
          <cell r="K1413">
            <v>0</v>
          </cell>
          <cell r="O1413">
            <v>0</v>
          </cell>
          <cell r="P1413">
            <v>0</v>
          </cell>
        </row>
        <row r="1414">
          <cell r="G1414">
            <v>0</v>
          </cell>
          <cell r="K1414">
            <v>0</v>
          </cell>
          <cell r="O1414">
            <v>0</v>
          </cell>
          <cell r="P1414">
            <v>0</v>
          </cell>
        </row>
        <row r="1415">
          <cell r="G1415">
            <v>0</v>
          </cell>
          <cell r="K1415">
            <v>0</v>
          </cell>
          <cell r="O1415">
            <v>0</v>
          </cell>
          <cell r="P1415">
            <v>0</v>
          </cell>
        </row>
        <row r="1416">
          <cell r="G1416">
            <v>0</v>
          </cell>
          <cell r="K1416">
            <v>0</v>
          </cell>
          <cell r="O1416">
            <v>0</v>
          </cell>
          <cell r="P1416">
            <v>0</v>
          </cell>
        </row>
        <row r="1417">
          <cell r="G1417">
            <v>0</v>
          </cell>
          <cell r="K1417">
            <v>0</v>
          </cell>
          <cell r="O1417">
            <v>0</v>
          </cell>
          <cell r="P1417">
            <v>0</v>
          </cell>
        </row>
        <row r="1418">
          <cell r="G1418">
            <v>0</v>
          </cell>
          <cell r="K1418">
            <v>0</v>
          </cell>
          <cell r="O1418">
            <v>0</v>
          </cell>
          <cell r="P1418">
            <v>0</v>
          </cell>
        </row>
        <row r="1419">
          <cell r="G1419">
            <v>0</v>
          </cell>
          <cell r="K1419">
            <v>0</v>
          </cell>
          <cell r="O1419">
            <v>0</v>
          </cell>
          <cell r="P1419">
            <v>0</v>
          </cell>
        </row>
        <row r="1420">
          <cell r="G1420">
            <v>0</v>
          </cell>
          <cell r="K1420">
            <v>0</v>
          </cell>
          <cell r="O1420">
            <v>0</v>
          </cell>
          <cell r="P1420">
            <v>0</v>
          </cell>
        </row>
        <row r="1421">
          <cell r="G1421">
            <v>0</v>
          </cell>
          <cell r="K1421">
            <v>0</v>
          </cell>
          <cell r="O1421">
            <v>0</v>
          </cell>
          <cell r="P1421">
            <v>0</v>
          </cell>
        </row>
        <row r="1422">
          <cell r="G1422">
            <v>0</v>
          </cell>
          <cell r="K1422">
            <v>0</v>
          </cell>
          <cell r="O1422">
            <v>0</v>
          </cell>
          <cell r="P1422">
            <v>0</v>
          </cell>
        </row>
        <row r="1423">
          <cell r="G1423">
            <v>0</v>
          </cell>
          <cell r="K1423">
            <v>0</v>
          </cell>
          <cell r="O1423">
            <v>0</v>
          </cell>
          <cell r="P1423">
            <v>0</v>
          </cell>
        </row>
        <row r="1424">
          <cell r="G1424">
            <v>0</v>
          </cell>
          <cell r="K1424">
            <v>0</v>
          </cell>
          <cell r="O1424">
            <v>0</v>
          </cell>
          <cell r="P1424">
            <v>0</v>
          </cell>
        </row>
        <row r="1425">
          <cell r="G1425">
            <v>0</v>
          </cell>
          <cell r="K1425">
            <v>0</v>
          </cell>
          <cell r="O1425">
            <v>0</v>
          </cell>
          <cell r="P1425">
            <v>0</v>
          </cell>
        </row>
        <row r="1426">
          <cell r="G1426">
            <v>0</v>
          </cell>
          <cell r="K1426">
            <v>0</v>
          </cell>
          <cell r="O1426">
            <v>0</v>
          </cell>
          <cell r="P1426">
            <v>0</v>
          </cell>
        </row>
        <row r="1427">
          <cell r="G1427">
            <v>0</v>
          </cell>
          <cell r="K1427">
            <v>0</v>
          </cell>
          <cell r="O1427">
            <v>0</v>
          </cell>
          <cell r="P1427">
            <v>0</v>
          </cell>
        </row>
        <row r="1428">
          <cell r="G1428">
            <v>0</v>
          </cell>
          <cell r="K1428">
            <v>0</v>
          </cell>
          <cell r="O1428">
            <v>0</v>
          </cell>
          <cell r="P1428">
            <v>0</v>
          </cell>
        </row>
        <row r="1429">
          <cell r="G1429">
            <v>0</v>
          </cell>
          <cell r="K1429">
            <v>0</v>
          </cell>
          <cell r="O1429">
            <v>0</v>
          </cell>
          <cell r="P1429">
            <v>0</v>
          </cell>
        </row>
        <row r="1430">
          <cell r="G1430">
            <v>0</v>
          </cell>
          <cell r="K1430">
            <v>0</v>
          </cell>
          <cell r="O1430">
            <v>0</v>
          </cell>
          <cell r="P1430">
            <v>0</v>
          </cell>
        </row>
        <row r="1431">
          <cell r="G1431">
            <v>0</v>
          </cell>
          <cell r="K1431">
            <v>0</v>
          </cell>
          <cell r="O1431">
            <v>0</v>
          </cell>
          <cell r="P1431">
            <v>0</v>
          </cell>
        </row>
        <row r="1432">
          <cell r="G1432">
            <v>0</v>
          </cell>
          <cell r="K1432">
            <v>0</v>
          </cell>
          <cell r="O1432">
            <v>0</v>
          </cell>
          <cell r="P1432">
            <v>0</v>
          </cell>
        </row>
        <row r="1433">
          <cell r="G1433">
            <v>0</v>
          </cell>
          <cell r="K1433">
            <v>0</v>
          </cell>
          <cell r="O1433">
            <v>0</v>
          </cell>
          <cell r="P1433">
            <v>0</v>
          </cell>
        </row>
        <row r="1434">
          <cell r="G1434">
            <v>0</v>
          </cell>
          <cell r="K1434">
            <v>0</v>
          </cell>
          <cell r="O1434">
            <v>0</v>
          </cell>
          <cell r="P1434">
            <v>0</v>
          </cell>
        </row>
        <row r="1435">
          <cell r="G1435">
            <v>0</v>
          </cell>
          <cell r="K1435">
            <v>0</v>
          </cell>
          <cell r="O1435">
            <v>0</v>
          </cell>
          <cell r="P1435">
            <v>0</v>
          </cell>
        </row>
        <row r="1436">
          <cell r="G1436">
            <v>0</v>
          </cell>
          <cell r="K1436">
            <v>0</v>
          </cell>
          <cell r="O1436">
            <v>0</v>
          </cell>
          <cell r="P1436">
            <v>0</v>
          </cell>
        </row>
        <row r="1437">
          <cell r="G1437">
            <v>0</v>
          </cell>
          <cell r="K1437">
            <v>0</v>
          </cell>
          <cell r="O1437">
            <v>0</v>
          </cell>
          <cell r="P1437">
            <v>0</v>
          </cell>
        </row>
        <row r="1438">
          <cell r="G1438">
            <v>0</v>
          </cell>
          <cell r="K1438">
            <v>0</v>
          </cell>
          <cell r="O1438">
            <v>0</v>
          </cell>
          <cell r="P1438">
            <v>0</v>
          </cell>
        </row>
        <row r="1439">
          <cell r="G1439">
            <v>0</v>
          </cell>
          <cell r="K1439">
            <v>0</v>
          </cell>
          <cell r="O1439">
            <v>0</v>
          </cell>
          <cell r="P1439">
            <v>0</v>
          </cell>
        </row>
        <row r="1440">
          <cell r="G1440">
            <v>0</v>
          </cell>
          <cell r="K1440">
            <v>0</v>
          </cell>
          <cell r="O1440">
            <v>0</v>
          </cell>
          <cell r="P1440">
            <v>0</v>
          </cell>
        </row>
        <row r="1441">
          <cell r="G1441">
            <v>0</v>
          </cell>
          <cell r="K1441">
            <v>0</v>
          </cell>
          <cell r="O1441">
            <v>0</v>
          </cell>
          <cell r="P1441">
            <v>0</v>
          </cell>
        </row>
        <row r="1442">
          <cell r="G1442">
            <v>0</v>
          </cell>
          <cell r="K1442">
            <v>0</v>
          </cell>
          <cell r="O1442">
            <v>0</v>
          </cell>
          <cell r="P1442">
            <v>0</v>
          </cell>
        </row>
        <row r="1443">
          <cell r="G1443">
            <v>0</v>
          </cell>
          <cell r="K1443">
            <v>0</v>
          </cell>
          <cell r="O1443">
            <v>0</v>
          </cell>
          <cell r="P1443">
            <v>0</v>
          </cell>
        </row>
        <row r="1444">
          <cell r="G1444">
            <v>0</v>
          </cell>
          <cell r="K1444">
            <v>0</v>
          </cell>
          <cell r="O1444">
            <v>0</v>
          </cell>
          <cell r="P1444">
            <v>0</v>
          </cell>
        </row>
        <row r="1445">
          <cell r="G1445">
            <v>0</v>
          </cell>
          <cell r="K1445">
            <v>0</v>
          </cell>
          <cell r="O1445">
            <v>0</v>
          </cell>
          <cell r="P1445">
            <v>0</v>
          </cell>
        </row>
        <row r="1446">
          <cell r="G1446">
            <v>0</v>
          </cell>
          <cell r="K1446">
            <v>0</v>
          </cell>
          <cell r="O1446">
            <v>0</v>
          </cell>
          <cell r="P1446">
            <v>0</v>
          </cell>
        </row>
        <row r="1447">
          <cell r="G1447">
            <v>0</v>
          </cell>
          <cell r="K1447">
            <v>0</v>
          </cell>
          <cell r="O1447">
            <v>0</v>
          </cell>
          <cell r="P1447">
            <v>0</v>
          </cell>
        </row>
        <row r="1448">
          <cell r="G1448">
            <v>0</v>
          </cell>
          <cell r="K1448">
            <v>0</v>
          </cell>
          <cell r="O1448">
            <v>0</v>
          </cell>
          <cell r="P1448">
            <v>0</v>
          </cell>
        </row>
        <row r="1449">
          <cell r="G1449">
            <v>0</v>
          </cell>
          <cell r="K1449">
            <v>0</v>
          </cell>
          <cell r="O1449">
            <v>0</v>
          </cell>
          <cell r="P1449">
            <v>0</v>
          </cell>
        </row>
        <row r="1450">
          <cell r="G1450">
            <v>0</v>
          </cell>
          <cell r="K1450">
            <v>0</v>
          </cell>
          <cell r="O1450">
            <v>0</v>
          </cell>
          <cell r="P1450">
            <v>0</v>
          </cell>
        </row>
        <row r="1451">
          <cell r="G1451">
            <v>0</v>
          </cell>
          <cell r="K1451">
            <v>0</v>
          </cell>
          <cell r="O1451">
            <v>0</v>
          </cell>
          <cell r="P1451">
            <v>0</v>
          </cell>
        </row>
        <row r="1452">
          <cell r="G1452">
            <v>0</v>
          </cell>
          <cell r="K1452">
            <v>0</v>
          </cell>
          <cell r="O1452">
            <v>0</v>
          </cell>
          <cell r="P1452">
            <v>0</v>
          </cell>
        </row>
        <row r="1453">
          <cell r="G1453">
            <v>0</v>
          </cell>
          <cell r="K1453">
            <v>0</v>
          </cell>
          <cell r="O1453">
            <v>0</v>
          </cell>
          <cell r="P1453">
            <v>0</v>
          </cell>
        </row>
        <row r="1454">
          <cell r="G1454">
            <v>0</v>
          </cell>
          <cell r="K1454">
            <v>0</v>
          </cell>
          <cell r="O1454">
            <v>0</v>
          </cell>
          <cell r="P1454">
            <v>0</v>
          </cell>
        </row>
        <row r="1455">
          <cell r="G1455">
            <v>0</v>
          </cell>
          <cell r="K1455">
            <v>0</v>
          </cell>
          <cell r="O1455">
            <v>0</v>
          </cell>
          <cell r="P1455">
            <v>0</v>
          </cell>
        </row>
        <row r="1456">
          <cell r="G1456">
            <v>0</v>
          </cell>
          <cell r="K1456">
            <v>0</v>
          </cell>
          <cell r="O1456">
            <v>0</v>
          </cell>
          <cell r="P1456">
            <v>0</v>
          </cell>
        </row>
        <row r="1457">
          <cell r="G1457">
            <v>0</v>
          </cell>
          <cell r="K1457">
            <v>0</v>
          </cell>
          <cell r="O1457">
            <v>0</v>
          </cell>
          <cell r="P1457">
            <v>0</v>
          </cell>
        </row>
        <row r="1458">
          <cell r="G1458">
            <v>0</v>
          </cell>
          <cell r="K1458">
            <v>0</v>
          </cell>
          <cell r="O1458">
            <v>0</v>
          </cell>
          <cell r="P1458">
            <v>0</v>
          </cell>
        </row>
        <row r="1459">
          <cell r="G1459">
            <v>0</v>
          </cell>
          <cell r="K1459">
            <v>0</v>
          </cell>
          <cell r="O1459">
            <v>0</v>
          </cell>
          <cell r="P1459">
            <v>0</v>
          </cell>
        </row>
        <row r="1460">
          <cell r="G1460">
            <v>0</v>
          </cell>
          <cell r="K1460">
            <v>0</v>
          </cell>
          <cell r="O1460">
            <v>0</v>
          </cell>
          <cell r="P1460">
            <v>0</v>
          </cell>
        </row>
      </sheetData>
      <sheetData sheetId="6" refreshError="1"/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put Info"/>
      <sheetName val="File Index"/>
      <sheetName val="Standard Rates"/>
      <sheetName val="Planning Memo"/>
      <sheetName val="Completion Memo"/>
      <sheetName val="Client Risk Assessment"/>
      <sheetName val="Billing Budget"/>
      <sheetName val="Client File Note"/>
      <sheetName val="Review Issues Sheet"/>
      <sheetName val="ITR Cover Sheet"/>
      <sheetName val="Printing Checklist"/>
      <sheetName val="Tax Advice"/>
      <sheetName val="QA Checklist"/>
      <sheetName val="Checklist - At-Call Loan"/>
      <sheetName val="Checklist - Div7A"/>
      <sheetName val="Checklist - FTE"/>
      <sheetName val="Checklist - P'ship Doco"/>
      <sheetName val="Checklist - Trust Deed"/>
      <sheetName val="Checklist - Workers Comp"/>
      <sheetName val="Checklist - Service Entity"/>
      <sheetName val="Checklist - PSI"/>
      <sheetName val="S W Interview Sheet"/>
      <sheetName val="Pawsome"/>
      <sheetName val="Home"/>
    </sheetNames>
    <sheetDataSet>
      <sheetData sheetId="0"/>
      <sheetData sheetId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/>
      <sheetData sheetId="13" refreshError="1"/>
      <sheetData sheetId="14" refreshError="1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a Entry"/>
      <sheetName val="Set Up Names and Dates"/>
      <sheetName val="Summary Schedule"/>
      <sheetName val="amort cal to be hidden"/>
      <sheetName val="Print Centre"/>
      <sheetName val="Help Centre"/>
      <sheetName val="Quick Calculator"/>
      <sheetName val="Hire Purchase Payment Schedule"/>
      <sheetName val="Financial Reporting Disclosures"/>
      <sheetName val="Module1"/>
      <sheetName val="Home"/>
      <sheetName val="Index"/>
      <sheetName val="Current Year Queries"/>
      <sheetName val="Review Points"/>
      <sheetName val="Partner Attention"/>
      <sheetName val="Opening Adjustment"/>
      <sheetName val="Net Movement Working"/>
      <sheetName val="Profit &amp; Loss"/>
      <sheetName val="Balance Sheet"/>
      <sheetName val="Yearend Journal"/>
      <sheetName val="Bank Reconciliation"/>
      <sheetName val="Fixed asset summary"/>
      <sheetName val="Depreciation Worksheet"/>
      <sheetName val="Asset Loan Schedule"/>
      <sheetName val="HP repayment Schedule"/>
      <sheetName val="Div 7A Summary"/>
      <sheetName val="Investment Register"/>
      <sheetName val="Borrowing Cost Schedule"/>
      <sheetName val="CGT - Property"/>
      <sheetName val="Loan Matrix"/>
      <sheetName val="BAS Reco."/>
      <sheetName val="ICA Reco"/>
      <sheetName val="ITA Reco"/>
      <sheetName val="Div7A Calculator"/>
      <sheetName val="Other Reco"/>
      <sheetName val="Distribution"/>
      <sheetName val="Dividend Income Schedule"/>
      <sheetName val="Rental Income"/>
      <sheetName val="Other Reconciliation"/>
      <sheetName val="Accounting Fees"/>
      <sheetName val="Expense Reconciliation"/>
      <sheetName val="PSI"/>
      <sheetName val="Franking Account"/>
      <sheetName val="Tax Reco- Company"/>
      <sheetName val="Tax Reco - Non Company"/>
      <sheetName val="Group Tax Summary"/>
      <sheetName val="Bank Account"/>
      <sheetName val="DV for Index"/>
    </sheetNames>
    <sheetDataSet>
      <sheetData sheetId="0">
        <row r="9">
          <cell r="M9">
            <v>51826.363636363632</v>
          </cell>
        </row>
        <row r="10">
          <cell r="L10">
            <v>0</v>
          </cell>
          <cell r="M10" t="str">
            <v>limit</v>
          </cell>
          <cell r="N10" t="str">
            <v>input credit</v>
          </cell>
        </row>
        <row r="11">
          <cell r="L11">
            <v>1980</v>
          </cell>
          <cell r="M11">
            <v>18000</v>
          </cell>
          <cell r="N11">
            <v>1636.3636363636363</v>
          </cell>
          <cell r="O11">
            <v>16363.636363636364</v>
          </cell>
        </row>
        <row r="12">
          <cell r="J12">
            <v>1</v>
          </cell>
          <cell r="L12">
            <v>1981</v>
          </cell>
          <cell r="M12">
            <v>18828</v>
          </cell>
          <cell r="N12">
            <v>1711.6363636363637</v>
          </cell>
          <cell r="O12">
            <v>17116.363636363636</v>
          </cell>
        </row>
        <row r="13">
          <cell r="L13">
            <v>1982</v>
          </cell>
          <cell r="M13">
            <v>19732</v>
          </cell>
          <cell r="N13">
            <v>1793.8181818181818</v>
          </cell>
          <cell r="O13">
            <v>17938.18181818182</v>
          </cell>
        </row>
        <row r="14">
          <cell r="L14">
            <v>1983</v>
          </cell>
          <cell r="M14">
            <v>21547</v>
          </cell>
          <cell r="N14">
            <v>1958.8181818181818</v>
          </cell>
          <cell r="O14">
            <v>19588.18181818182</v>
          </cell>
        </row>
        <row r="15">
          <cell r="L15">
            <v>1984</v>
          </cell>
          <cell r="M15">
            <v>23357</v>
          </cell>
          <cell r="N15">
            <v>2123.3636363636365</v>
          </cell>
          <cell r="O15">
            <v>21233.636363636364</v>
          </cell>
        </row>
        <row r="16">
          <cell r="L16">
            <v>1985</v>
          </cell>
          <cell r="M16">
            <v>25352</v>
          </cell>
          <cell r="N16">
            <v>2304.7272727272725</v>
          </cell>
          <cell r="O16">
            <v>23047.272727272728</v>
          </cell>
        </row>
        <row r="17">
          <cell r="L17">
            <v>1986</v>
          </cell>
          <cell r="M17">
            <v>26660</v>
          </cell>
          <cell r="N17">
            <v>2423.6363636363635</v>
          </cell>
          <cell r="O17">
            <v>24236.363636363636</v>
          </cell>
        </row>
        <row r="18">
          <cell r="L18">
            <v>1987</v>
          </cell>
          <cell r="M18">
            <v>29646</v>
          </cell>
          <cell r="N18">
            <v>2695.090909090909</v>
          </cell>
          <cell r="O18">
            <v>26950.909090909092</v>
          </cell>
        </row>
        <row r="19">
          <cell r="J19">
            <v>1</v>
          </cell>
          <cell r="L19">
            <v>1988</v>
          </cell>
          <cell r="M19">
            <v>34775</v>
          </cell>
          <cell r="N19">
            <v>3161.3636363636365</v>
          </cell>
          <cell r="O19">
            <v>31613.636363636364</v>
          </cell>
        </row>
        <row r="20">
          <cell r="L20">
            <v>1989</v>
          </cell>
          <cell r="M20">
            <v>39331</v>
          </cell>
          <cell r="N20">
            <v>3575.5454545454545</v>
          </cell>
          <cell r="O20">
            <v>35755.454545454544</v>
          </cell>
        </row>
        <row r="21">
          <cell r="J21">
            <v>2</v>
          </cell>
          <cell r="L21">
            <v>1990</v>
          </cell>
          <cell r="M21">
            <v>42910</v>
          </cell>
          <cell r="N21">
            <v>3900.909090909091</v>
          </cell>
          <cell r="O21">
            <v>39009.090909090912</v>
          </cell>
        </row>
        <row r="22">
          <cell r="L22">
            <v>1991</v>
          </cell>
          <cell r="M22">
            <v>45056</v>
          </cell>
          <cell r="N22">
            <v>4096</v>
          </cell>
          <cell r="O22">
            <v>40960</v>
          </cell>
        </row>
        <row r="23">
          <cell r="L23">
            <v>1992</v>
          </cell>
          <cell r="M23">
            <v>45462</v>
          </cell>
          <cell r="N23">
            <v>4132.909090909091</v>
          </cell>
          <cell r="O23">
            <v>41329.090909090912</v>
          </cell>
        </row>
        <row r="24">
          <cell r="L24">
            <v>1993</v>
          </cell>
          <cell r="M24">
            <v>47280</v>
          </cell>
          <cell r="N24">
            <v>4298.181818181818</v>
          </cell>
          <cell r="O24">
            <v>42981.818181818184</v>
          </cell>
        </row>
        <row r="25">
          <cell r="G25">
            <v>26066.91</v>
          </cell>
          <cell r="L25">
            <v>1994</v>
          </cell>
          <cell r="M25">
            <v>48415</v>
          </cell>
          <cell r="N25">
            <v>4401.363636363636</v>
          </cell>
          <cell r="O25">
            <v>44013.636363636368</v>
          </cell>
        </row>
        <row r="26">
          <cell r="L26">
            <v>1995</v>
          </cell>
          <cell r="M26">
            <v>51271</v>
          </cell>
          <cell r="N26">
            <v>4661</v>
          </cell>
          <cell r="O26">
            <v>46610</v>
          </cell>
        </row>
        <row r="27">
          <cell r="G27">
            <v>2433.09</v>
          </cell>
          <cell r="L27">
            <v>1996</v>
          </cell>
          <cell r="M27">
            <v>52912</v>
          </cell>
          <cell r="N27">
            <v>4810.181818181818</v>
          </cell>
          <cell r="O27">
            <v>48101.818181818184</v>
          </cell>
        </row>
        <row r="28">
          <cell r="L28">
            <v>1997</v>
          </cell>
          <cell r="M28">
            <v>55134</v>
          </cell>
          <cell r="N28">
            <v>5012.181818181818</v>
          </cell>
          <cell r="O28">
            <v>50121.818181818184</v>
          </cell>
        </row>
        <row r="29">
          <cell r="J29">
            <v>2</v>
          </cell>
          <cell r="L29">
            <v>1998</v>
          </cell>
          <cell r="M29">
            <v>55134</v>
          </cell>
          <cell r="N29">
            <v>5012.181818181818</v>
          </cell>
          <cell r="O29">
            <v>50121.818181818184</v>
          </cell>
        </row>
        <row r="30">
          <cell r="L30">
            <v>1999</v>
          </cell>
          <cell r="M30">
            <v>55134</v>
          </cell>
          <cell r="N30">
            <v>5012.181818181818</v>
          </cell>
          <cell r="O30">
            <v>50121.818181818184</v>
          </cell>
        </row>
        <row r="31">
          <cell r="L31">
            <v>2000</v>
          </cell>
          <cell r="M31">
            <v>55134</v>
          </cell>
          <cell r="N31">
            <v>5012.181818181818</v>
          </cell>
          <cell r="O31">
            <v>50121.818181818184</v>
          </cell>
        </row>
        <row r="32">
          <cell r="G32">
            <v>28500</v>
          </cell>
          <cell r="L32">
            <v>2001</v>
          </cell>
          <cell r="M32">
            <v>55134</v>
          </cell>
          <cell r="N32">
            <v>5012.181818181818</v>
          </cell>
          <cell r="O32">
            <v>50121.818181818184</v>
          </cell>
        </row>
        <row r="33">
          <cell r="L33">
            <v>2002</v>
          </cell>
          <cell r="M33">
            <v>55134</v>
          </cell>
          <cell r="N33">
            <v>5012.181818181818</v>
          </cell>
          <cell r="O33">
            <v>50121.818181818184</v>
          </cell>
        </row>
        <row r="34">
          <cell r="G34">
            <v>5820.91</v>
          </cell>
          <cell r="L34">
            <v>2003</v>
          </cell>
          <cell r="M34">
            <v>57009</v>
          </cell>
          <cell r="N34">
            <v>5182.636363636364</v>
          </cell>
          <cell r="O34">
            <v>51826.363636363632</v>
          </cell>
        </row>
        <row r="35">
          <cell r="L35">
            <v>2004</v>
          </cell>
          <cell r="M35">
            <v>57009</v>
          </cell>
          <cell r="N35">
            <v>5182.636363636364</v>
          </cell>
          <cell r="O35">
            <v>51826.363636363632</v>
          </cell>
        </row>
        <row r="36">
          <cell r="G36">
            <v>22679.09</v>
          </cell>
          <cell r="L36">
            <v>2005</v>
          </cell>
          <cell r="M36">
            <v>57009</v>
          </cell>
          <cell r="N36">
            <v>5182.636363636364</v>
          </cell>
          <cell r="O36">
            <v>51826.363636363632</v>
          </cell>
        </row>
        <row r="38">
          <cell r="G38">
            <v>6803.7</v>
          </cell>
        </row>
        <row r="42">
          <cell r="G42">
            <v>0</v>
          </cell>
          <cell r="J42">
            <v>6803.7</v>
          </cell>
        </row>
        <row r="44">
          <cell r="G44">
            <v>40127</v>
          </cell>
        </row>
        <row r="45">
          <cell r="G45">
            <v>41953</v>
          </cell>
        </row>
        <row r="46">
          <cell r="G46">
            <v>60</v>
          </cell>
        </row>
        <row r="47">
          <cell r="J47">
            <v>1</v>
          </cell>
        </row>
        <row r="50">
          <cell r="J50">
            <v>1</v>
          </cell>
        </row>
        <row r="52">
          <cell r="J52">
            <v>2</v>
          </cell>
        </row>
        <row r="54">
          <cell r="K54">
            <v>2433.09</v>
          </cell>
        </row>
        <row r="55">
          <cell r="G55">
            <v>1736</v>
          </cell>
          <cell r="J55">
            <v>2</v>
          </cell>
        </row>
        <row r="59">
          <cell r="G59">
            <v>0</v>
          </cell>
          <cell r="J59">
            <v>-1</v>
          </cell>
        </row>
        <row r="61">
          <cell r="G61">
            <v>0</v>
          </cell>
        </row>
        <row r="68">
          <cell r="J68">
            <v>1</v>
          </cell>
        </row>
        <row r="69">
          <cell r="G69">
            <v>393.23</v>
          </cell>
        </row>
        <row r="75">
          <cell r="J75">
            <v>2</v>
          </cell>
        </row>
        <row r="78">
          <cell r="J78">
            <v>2</v>
          </cell>
        </row>
        <row r="82">
          <cell r="G82">
            <v>10</v>
          </cell>
          <cell r="J82">
            <v>2</v>
          </cell>
        </row>
        <row r="84">
          <cell r="G84">
            <v>28000</v>
          </cell>
        </row>
      </sheetData>
      <sheetData sheetId="1">
        <row r="12">
          <cell r="E12" t="str">
            <v>Tanner Architects Pty Ltd</v>
          </cell>
        </row>
        <row r="13">
          <cell r="E13" t="str">
            <v>MW</v>
          </cell>
        </row>
        <row r="16">
          <cell r="E16" t="str">
            <v>Esanda Finance</v>
          </cell>
        </row>
        <row r="18">
          <cell r="E18">
            <v>40724</v>
          </cell>
        </row>
      </sheetData>
      <sheetData sheetId="2">
        <row r="13">
          <cell r="R13">
            <v>40359</v>
          </cell>
        </row>
      </sheetData>
      <sheetData sheetId="3">
        <row r="7">
          <cell r="A7">
            <v>1</v>
          </cell>
          <cell r="B7">
            <v>1</v>
          </cell>
          <cell r="C7">
            <v>-193.30900000000003</v>
          </cell>
          <cell r="E7">
            <v>0</v>
          </cell>
          <cell r="F7">
            <v>1</v>
          </cell>
          <cell r="G7">
            <v>-16.109083333333334</v>
          </cell>
          <cell r="I7">
            <v>0</v>
          </cell>
        </row>
        <row r="8">
          <cell r="A8">
            <v>2</v>
          </cell>
          <cell r="B8">
            <v>2</v>
          </cell>
          <cell r="C8">
            <v>-193.30900000000003</v>
          </cell>
          <cell r="D8">
            <v>-193.30900000000003</v>
          </cell>
          <cell r="E8">
            <v>-193.30900000000003</v>
          </cell>
          <cell r="F8">
            <v>2</v>
          </cell>
          <cell r="G8">
            <v>-16.109083333333334</v>
          </cell>
          <cell r="H8">
            <v>-16.109083333333334</v>
          </cell>
          <cell r="I8">
            <v>-16.109083333333334</v>
          </cell>
        </row>
        <row r="9">
          <cell r="A9">
            <v>3</v>
          </cell>
          <cell r="B9">
            <v>3</v>
          </cell>
          <cell r="C9">
            <v>-193.30900000000003</v>
          </cell>
          <cell r="D9">
            <v>-193.30900000000003</v>
          </cell>
          <cell r="E9">
            <v>-193.30900000000003</v>
          </cell>
          <cell r="F9">
            <v>3</v>
          </cell>
          <cell r="G9">
            <v>-16.109083333333334</v>
          </cell>
          <cell r="H9">
            <v>-16.109083333333334</v>
          </cell>
          <cell r="I9">
            <v>-16.109083333333334</v>
          </cell>
        </row>
        <row r="10">
          <cell r="A10">
            <v>4</v>
          </cell>
          <cell r="B10">
            <v>4</v>
          </cell>
          <cell r="C10">
            <v>-193.30900000000003</v>
          </cell>
          <cell r="D10">
            <v>-193.30900000000003</v>
          </cell>
          <cell r="E10">
            <v>-193.30900000000003</v>
          </cell>
          <cell r="F10">
            <v>4</v>
          </cell>
          <cell r="G10">
            <v>-16.109083333333334</v>
          </cell>
          <cell r="H10">
            <v>-16.109083333333334</v>
          </cell>
          <cell r="I10">
            <v>-16.109083333333334</v>
          </cell>
        </row>
        <row r="11">
          <cell r="A11">
            <v>5</v>
          </cell>
          <cell r="B11">
            <v>5</v>
          </cell>
          <cell r="C11">
            <v>-193.30900000000003</v>
          </cell>
          <cell r="D11">
            <v>-193.30900000000003</v>
          </cell>
          <cell r="E11">
            <v>-193.30900000000003</v>
          </cell>
          <cell r="F11">
            <v>5</v>
          </cell>
          <cell r="G11">
            <v>-16.109083333333334</v>
          </cell>
          <cell r="H11">
            <v>-16.109083333333334</v>
          </cell>
          <cell r="I11">
            <v>-16.109083333333334</v>
          </cell>
        </row>
        <row r="12">
          <cell r="A12">
            <v>6</v>
          </cell>
          <cell r="B12">
            <v>6</v>
          </cell>
          <cell r="C12">
            <v>-193.30900000000003</v>
          </cell>
          <cell r="D12">
            <v>-193.30900000000003</v>
          </cell>
          <cell r="E12">
            <v>-193.30900000000003</v>
          </cell>
          <cell r="F12">
            <v>6</v>
          </cell>
          <cell r="G12">
            <v>-16.109083333333334</v>
          </cell>
          <cell r="H12">
            <v>-16.109083333333334</v>
          </cell>
          <cell r="I12">
            <v>-16.109083333333334</v>
          </cell>
        </row>
        <row r="13">
          <cell r="A13">
            <v>7</v>
          </cell>
          <cell r="B13">
            <v>7</v>
          </cell>
          <cell r="C13">
            <v>-193.30900000000003</v>
          </cell>
          <cell r="D13">
            <v>-193.30900000000003</v>
          </cell>
          <cell r="E13">
            <v>-193.30900000000003</v>
          </cell>
          <cell r="F13">
            <v>7</v>
          </cell>
          <cell r="G13">
            <v>-16.109083333333334</v>
          </cell>
          <cell r="H13">
            <v>-16.109083333333334</v>
          </cell>
          <cell r="I13">
            <v>-16.109083333333334</v>
          </cell>
        </row>
        <row r="14">
          <cell r="A14">
            <v>8</v>
          </cell>
          <cell r="B14">
            <v>8</v>
          </cell>
          <cell r="C14">
            <v>-193.30900000000003</v>
          </cell>
          <cell r="D14">
            <v>-193.30900000000003</v>
          </cell>
          <cell r="E14">
            <v>-193.30900000000003</v>
          </cell>
          <cell r="F14">
            <v>8</v>
          </cell>
          <cell r="G14">
            <v>-16.109083333333334</v>
          </cell>
          <cell r="H14">
            <v>-16.109083333333334</v>
          </cell>
          <cell r="I14">
            <v>-16.109083333333334</v>
          </cell>
        </row>
        <row r="15">
          <cell r="A15">
            <v>9</v>
          </cell>
          <cell r="B15">
            <v>9</v>
          </cell>
          <cell r="C15">
            <v>-193.30900000000003</v>
          </cell>
          <cell r="D15">
            <v>-193.30900000000003</v>
          </cell>
          <cell r="E15">
            <v>-193.30900000000003</v>
          </cell>
          <cell r="F15">
            <v>9</v>
          </cell>
          <cell r="G15">
            <v>-16.109083333333334</v>
          </cell>
          <cell r="H15">
            <v>-16.109083333333334</v>
          </cell>
          <cell r="I15">
            <v>-16.109083333333334</v>
          </cell>
        </row>
        <row r="16">
          <cell r="A16">
            <v>10</v>
          </cell>
          <cell r="B16">
            <v>10</v>
          </cell>
          <cell r="C16">
            <v>-193.30900000000003</v>
          </cell>
          <cell r="D16">
            <v>-193.30900000000003</v>
          </cell>
          <cell r="E16">
            <v>-193.30900000000003</v>
          </cell>
          <cell r="F16">
            <v>10</v>
          </cell>
          <cell r="G16">
            <v>-16.109083333333334</v>
          </cell>
          <cell r="H16">
            <v>-16.109083333333334</v>
          </cell>
          <cell r="I16">
            <v>-16.109083333333334</v>
          </cell>
        </row>
        <row r="17">
          <cell r="A17">
            <v>11</v>
          </cell>
          <cell r="B17">
            <v>11</v>
          </cell>
          <cell r="C17">
            <v>-193.30900000000003</v>
          </cell>
          <cell r="D17">
            <v>-193.30900000000003</v>
          </cell>
          <cell r="E17">
            <v>-193.30900000000003</v>
          </cell>
          <cell r="F17">
            <v>11</v>
          </cell>
          <cell r="G17">
            <v>-16.109083333333334</v>
          </cell>
          <cell r="H17">
            <v>-16.109083333333334</v>
          </cell>
          <cell r="I17">
            <v>-16.109083333333334</v>
          </cell>
        </row>
        <row r="18">
          <cell r="A18">
            <v>12</v>
          </cell>
          <cell r="B18">
            <v>12</v>
          </cell>
          <cell r="C18">
            <v>-193.30900000000003</v>
          </cell>
          <cell r="D18">
            <v>-193.30900000000003</v>
          </cell>
          <cell r="E18">
            <v>-193.30900000000003</v>
          </cell>
          <cell r="F18">
            <v>12</v>
          </cell>
          <cell r="G18">
            <v>-16.109083333333334</v>
          </cell>
          <cell r="H18">
            <v>-16.109083333333334</v>
          </cell>
          <cell r="I18">
            <v>-16.109083333333334</v>
          </cell>
        </row>
        <row r="19">
          <cell r="A19">
            <v>13</v>
          </cell>
          <cell r="B19">
            <v>13</v>
          </cell>
          <cell r="C19">
            <v>-193.30900000000003</v>
          </cell>
          <cell r="D19">
            <v>-193.30900000000003</v>
          </cell>
          <cell r="E19">
            <v>-193.30900000000003</v>
          </cell>
          <cell r="F19">
            <v>13</v>
          </cell>
          <cell r="G19">
            <v>-16.109083333333334</v>
          </cell>
          <cell r="H19">
            <v>-16.109083333333334</v>
          </cell>
          <cell r="I19">
            <v>-16.109083333333334</v>
          </cell>
        </row>
        <row r="20">
          <cell r="A20">
            <v>14</v>
          </cell>
          <cell r="B20">
            <v>14</v>
          </cell>
          <cell r="C20">
            <v>-193.30900000000003</v>
          </cell>
          <cell r="D20">
            <v>-193.30900000000003</v>
          </cell>
          <cell r="E20">
            <v>-193.30900000000003</v>
          </cell>
          <cell r="F20">
            <v>14</v>
          </cell>
          <cell r="G20">
            <v>-16.109083333333334</v>
          </cell>
          <cell r="H20">
            <v>-16.109083333333334</v>
          </cell>
          <cell r="I20">
            <v>-16.109083333333334</v>
          </cell>
        </row>
        <row r="21">
          <cell r="A21">
            <v>15</v>
          </cell>
          <cell r="B21">
            <v>15</v>
          </cell>
          <cell r="C21">
            <v>-193.30900000000003</v>
          </cell>
          <cell r="D21">
            <v>-193.30900000000003</v>
          </cell>
          <cell r="E21">
            <v>-193.30900000000003</v>
          </cell>
          <cell r="F21">
            <v>15</v>
          </cell>
          <cell r="G21">
            <v>-16.109083333333334</v>
          </cell>
          <cell r="H21">
            <v>-16.109083333333334</v>
          </cell>
          <cell r="I21">
            <v>-16.109083333333334</v>
          </cell>
        </row>
        <row r="22">
          <cell r="A22">
            <v>16</v>
          </cell>
          <cell r="B22">
            <v>16</v>
          </cell>
          <cell r="C22">
            <v>-193.30900000000003</v>
          </cell>
          <cell r="D22">
            <v>-193.30900000000003</v>
          </cell>
          <cell r="E22">
            <v>-193.30900000000003</v>
          </cell>
          <cell r="F22">
            <v>16</v>
          </cell>
          <cell r="G22">
            <v>-16.109083333333334</v>
          </cell>
          <cell r="H22">
            <v>-16.109083333333334</v>
          </cell>
          <cell r="I22">
            <v>-16.109083333333334</v>
          </cell>
        </row>
        <row r="23">
          <cell r="A23">
            <v>17</v>
          </cell>
          <cell r="B23">
            <v>17</v>
          </cell>
          <cell r="C23">
            <v>-193.30900000000003</v>
          </cell>
          <cell r="D23">
            <v>-193.30900000000003</v>
          </cell>
          <cell r="E23">
            <v>-193.30900000000003</v>
          </cell>
          <cell r="F23">
            <v>17</v>
          </cell>
          <cell r="G23">
            <v>-16.109083333333334</v>
          </cell>
          <cell r="H23">
            <v>-16.109083333333334</v>
          </cell>
          <cell r="I23">
            <v>-16.109083333333334</v>
          </cell>
        </row>
        <row r="24">
          <cell r="A24">
            <v>18</v>
          </cell>
          <cell r="B24">
            <v>18</v>
          </cell>
          <cell r="C24">
            <v>-193.30900000000003</v>
          </cell>
          <cell r="D24">
            <v>-193.30900000000003</v>
          </cell>
          <cell r="E24">
            <v>-193.30900000000003</v>
          </cell>
          <cell r="F24">
            <v>18</v>
          </cell>
          <cell r="G24">
            <v>-16.109083333333334</v>
          </cell>
          <cell r="H24">
            <v>-16.109083333333334</v>
          </cell>
          <cell r="I24">
            <v>-16.109083333333334</v>
          </cell>
        </row>
        <row r="25">
          <cell r="A25">
            <v>19</v>
          </cell>
          <cell r="B25">
            <v>19</v>
          </cell>
          <cell r="C25">
            <v>-193.30900000000003</v>
          </cell>
          <cell r="D25">
            <v>-193.30900000000003</v>
          </cell>
          <cell r="E25">
            <v>-193.30900000000003</v>
          </cell>
          <cell r="F25">
            <v>19</v>
          </cell>
          <cell r="G25">
            <v>-16.109083333333334</v>
          </cell>
          <cell r="H25">
            <v>-16.109083333333334</v>
          </cell>
          <cell r="I25">
            <v>-16.109083333333334</v>
          </cell>
        </row>
        <row r="26">
          <cell r="A26">
            <v>20</v>
          </cell>
          <cell r="B26">
            <v>20</v>
          </cell>
          <cell r="C26">
            <v>-193.30900000000003</v>
          </cell>
          <cell r="D26">
            <v>-193.30900000000003</v>
          </cell>
          <cell r="E26">
            <v>-193.30900000000003</v>
          </cell>
          <cell r="F26">
            <v>20</v>
          </cell>
          <cell r="G26">
            <v>-16.109083333333334</v>
          </cell>
          <cell r="H26">
            <v>-16.109083333333334</v>
          </cell>
          <cell r="I26">
            <v>-16.109083333333334</v>
          </cell>
        </row>
        <row r="27">
          <cell r="A27">
            <v>21</v>
          </cell>
          <cell r="B27">
            <v>21</v>
          </cell>
          <cell r="C27">
            <v>-193.30900000000003</v>
          </cell>
          <cell r="D27">
            <v>-193.30900000000003</v>
          </cell>
          <cell r="E27">
            <v>-193.30900000000003</v>
          </cell>
          <cell r="F27">
            <v>21</v>
          </cell>
          <cell r="G27">
            <v>-16.109083333333334</v>
          </cell>
          <cell r="H27">
            <v>-16.109083333333334</v>
          </cell>
          <cell r="I27">
            <v>-16.109083333333334</v>
          </cell>
        </row>
        <row r="28">
          <cell r="A28">
            <v>22</v>
          </cell>
          <cell r="B28">
            <v>22</v>
          </cell>
          <cell r="C28">
            <v>-193.30900000000003</v>
          </cell>
          <cell r="D28">
            <v>-193.30900000000003</v>
          </cell>
          <cell r="E28">
            <v>-193.30900000000003</v>
          </cell>
          <cell r="F28">
            <v>22</v>
          </cell>
          <cell r="G28">
            <v>-16.109083333333334</v>
          </cell>
          <cell r="H28">
            <v>-16.109083333333334</v>
          </cell>
          <cell r="I28">
            <v>-16.109083333333334</v>
          </cell>
        </row>
        <row r="29">
          <cell r="A29">
            <v>23</v>
          </cell>
          <cell r="B29">
            <v>23</v>
          </cell>
          <cell r="C29">
            <v>-193.30900000000003</v>
          </cell>
          <cell r="D29">
            <v>-193.30900000000003</v>
          </cell>
          <cell r="E29">
            <v>-193.30900000000003</v>
          </cell>
          <cell r="F29">
            <v>23</v>
          </cell>
          <cell r="G29">
            <v>-16.109083333333334</v>
          </cell>
          <cell r="H29">
            <v>-16.109083333333334</v>
          </cell>
          <cell r="I29">
            <v>-16.109083333333334</v>
          </cell>
        </row>
        <row r="30">
          <cell r="A30">
            <v>24</v>
          </cell>
          <cell r="B30">
            <v>24</v>
          </cell>
          <cell r="C30">
            <v>-193.30900000000003</v>
          </cell>
          <cell r="D30">
            <v>-193.30900000000003</v>
          </cell>
          <cell r="E30">
            <v>-193.30900000000003</v>
          </cell>
          <cell r="F30">
            <v>24</v>
          </cell>
          <cell r="G30">
            <v>-16.109083333333334</v>
          </cell>
          <cell r="H30">
            <v>-16.109083333333334</v>
          </cell>
          <cell r="I30">
            <v>-16.109083333333334</v>
          </cell>
        </row>
        <row r="31">
          <cell r="A31">
            <v>25</v>
          </cell>
          <cell r="B31">
            <v>25</v>
          </cell>
          <cell r="C31">
            <v>-193.30900000000003</v>
          </cell>
          <cell r="D31">
            <v>-193.30900000000003</v>
          </cell>
          <cell r="E31">
            <v>-193.30900000000003</v>
          </cell>
          <cell r="F31">
            <v>25</v>
          </cell>
          <cell r="G31">
            <v>-16.109083333333334</v>
          </cell>
          <cell r="H31">
            <v>-16.109083333333334</v>
          </cell>
          <cell r="I31">
            <v>-16.109083333333334</v>
          </cell>
        </row>
        <row r="32">
          <cell r="A32">
            <v>26</v>
          </cell>
          <cell r="B32">
            <v>26</v>
          </cell>
          <cell r="C32">
            <v>-193.30900000000003</v>
          </cell>
          <cell r="D32">
            <v>-193.30900000000003</v>
          </cell>
          <cell r="E32">
            <v>-193.30900000000003</v>
          </cell>
          <cell r="F32">
            <v>26</v>
          </cell>
          <cell r="G32">
            <v>-16.109083333333334</v>
          </cell>
          <cell r="H32">
            <v>-16.109083333333334</v>
          </cell>
          <cell r="I32">
            <v>-16.109083333333334</v>
          </cell>
        </row>
        <row r="33">
          <cell r="A33">
            <v>27</v>
          </cell>
          <cell r="B33">
            <v>27</v>
          </cell>
          <cell r="C33">
            <v>-193.30900000000003</v>
          </cell>
          <cell r="D33">
            <v>-193.30900000000003</v>
          </cell>
          <cell r="E33">
            <v>-193.30900000000003</v>
          </cell>
          <cell r="F33">
            <v>27</v>
          </cell>
          <cell r="G33">
            <v>-16.109083333333334</v>
          </cell>
          <cell r="H33">
            <v>-16.109083333333334</v>
          </cell>
          <cell r="I33">
            <v>-16.109083333333334</v>
          </cell>
        </row>
        <row r="34">
          <cell r="A34">
            <v>28</v>
          </cell>
          <cell r="B34">
            <v>28</v>
          </cell>
          <cell r="C34">
            <v>-193.30900000000003</v>
          </cell>
          <cell r="D34">
            <v>-193.30900000000003</v>
          </cell>
          <cell r="E34">
            <v>-193.30900000000003</v>
          </cell>
          <cell r="F34">
            <v>28</v>
          </cell>
          <cell r="G34">
            <v>-16.109083333333334</v>
          </cell>
          <cell r="H34">
            <v>-16.109083333333334</v>
          </cell>
          <cell r="I34">
            <v>-16.109083333333334</v>
          </cell>
        </row>
        <row r="35">
          <cell r="A35">
            <v>29</v>
          </cell>
          <cell r="B35">
            <v>29</v>
          </cell>
          <cell r="C35">
            <v>-193.30900000000003</v>
          </cell>
          <cell r="D35">
            <v>-193.30900000000003</v>
          </cell>
          <cell r="E35">
            <v>-193.30900000000003</v>
          </cell>
          <cell r="F35">
            <v>29</v>
          </cell>
          <cell r="G35">
            <v>-16.109083333333334</v>
          </cell>
          <cell r="H35">
            <v>-16.109083333333334</v>
          </cell>
          <cell r="I35">
            <v>-16.109083333333334</v>
          </cell>
        </row>
        <row r="36">
          <cell r="A36">
            <v>30</v>
          </cell>
          <cell r="B36">
            <v>30</v>
          </cell>
          <cell r="C36">
            <v>-193.30900000000003</v>
          </cell>
          <cell r="D36">
            <v>-193.30900000000003</v>
          </cell>
          <cell r="E36">
            <v>-193.30900000000003</v>
          </cell>
          <cell r="F36">
            <v>30</v>
          </cell>
          <cell r="G36">
            <v>-16.109083333333334</v>
          </cell>
          <cell r="H36">
            <v>-16.109083333333334</v>
          </cell>
          <cell r="I36">
            <v>-16.109083333333334</v>
          </cell>
        </row>
        <row r="37">
          <cell r="A37">
            <v>31</v>
          </cell>
          <cell r="B37">
            <v>31</v>
          </cell>
          <cell r="C37">
            <v>-193.30900000000003</v>
          </cell>
          <cell r="D37">
            <v>-193.30900000000003</v>
          </cell>
          <cell r="E37">
            <v>-193.30900000000003</v>
          </cell>
          <cell r="F37">
            <v>31</v>
          </cell>
          <cell r="G37">
            <v>-16.109083333333334</v>
          </cell>
          <cell r="H37">
            <v>-16.109083333333334</v>
          </cell>
          <cell r="I37">
            <v>-16.109083333333334</v>
          </cell>
        </row>
        <row r="38">
          <cell r="A38">
            <v>32</v>
          </cell>
          <cell r="B38">
            <v>32</v>
          </cell>
          <cell r="C38">
            <v>-193.30900000000003</v>
          </cell>
          <cell r="D38">
            <v>-193.30900000000003</v>
          </cell>
          <cell r="E38">
            <v>-193.30900000000003</v>
          </cell>
          <cell r="F38">
            <v>32</v>
          </cell>
          <cell r="G38">
            <v>-16.109083333333334</v>
          </cell>
          <cell r="H38">
            <v>-16.109083333333334</v>
          </cell>
          <cell r="I38">
            <v>-16.109083333333334</v>
          </cell>
        </row>
        <row r="39">
          <cell r="A39">
            <v>33</v>
          </cell>
          <cell r="B39">
            <v>33</v>
          </cell>
          <cell r="C39">
            <v>-193.30900000000003</v>
          </cell>
          <cell r="D39">
            <v>-193.30900000000003</v>
          </cell>
          <cell r="E39">
            <v>-193.30900000000003</v>
          </cell>
          <cell r="F39">
            <v>33</v>
          </cell>
          <cell r="G39">
            <v>-16.109083333333334</v>
          </cell>
          <cell r="H39">
            <v>-16.109083333333334</v>
          </cell>
          <cell r="I39">
            <v>-16.109083333333334</v>
          </cell>
        </row>
        <row r="40">
          <cell r="A40">
            <v>34</v>
          </cell>
          <cell r="B40">
            <v>34</v>
          </cell>
          <cell r="C40">
            <v>-193.30900000000003</v>
          </cell>
          <cell r="D40">
            <v>-193.30900000000003</v>
          </cell>
          <cell r="E40">
            <v>-193.30900000000003</v>
          </cell>
          <cell r="F40">
            <v>34</v>
          </cell>
          <cell r="G40">
            <v>-16.109083333333334</v>
          </cell>
          <cell r="H40">
            <v>-16.109083333333334</v>
          </cell>
          <cell r="I40">
            <v>-16.109083333333334</v>
          </cell>
        </row>
        <row r="41">
          <cell r="A41">
            <v>35</v>
          </cell>
          <cell r="B41">
            <v>35</v>
          </cell>
          <cell r="C41">
            <v>-193.30900000000003</v>
          </cell>
          <cell r="D41">
            <v>-193.30900000000003</v>
          </cell>
          <cell r="E41">
            <v>-193.30900000000003</v>
          </cell>
          <cell r="F41">
            <v>35</v>
          </cell>
          <cell r="G41">
            <v>-16.109083333333334</v>
          </cell>
          <cell r="H41">
            <v>-16.109083333333334</v>
          </cell>
          <cell r="I41">
            <v>-16.109083333333334</v>
          </cell>
        </row>
        <row r="42">
          <cell r="A42">
            <v>36</v>
          </cell>
          <cell r="B42">
            <v>36</v>
          </cell>
          <cell r="C42">
            <v>-193.30900000000003</v>
          </cell>
          <cell r="D42">
            <v>-193.30900000000003</v>
          </cell>
          <cell r="E42">
            <v>-193.30900000000003</v>
          </cell>
          <cell r="F42">
            <v>36</v>
          </cell>
          <cell r="G42">
            <v>-16.109083333333334</v>
          </cell>
          <cell r="H42">
            <v>-16.109083333333334</v>
          </cell>
          <cell r="I42">
            <v>-16.109083333333334</v>
          </cell>
        </row>
        <row r="43">
          <cell r="A43">
            <v>37</v>
          </cell>
          <cell r="B43">
            <v>37</v>
          </cell>
          <cell r="C43">
            <v>-193.30900000000003</v>
          </cell>
          <cell r="D43">
            <v>-193.30900000000003</v>
          </cell>
          <cell r="E43">
            <v>-193.30900000000003</v>
          </cell>
          <cell r="F43">
            <v>37</v>
          </cell>
          <cell r="G43">
            <v>-16.109083333333334</v>
          </cell>
          <cell r="H43">
            <v>-16.109083333333334</v>
          </cell>
          <cell r="I43">
            <v>-16.109083333333334</v>
          </cell>
        </row>
        <row r="44">
          <cell r="A44">
            <v>38</v>
          </cell>
          <cell r="B44">
            <v>38</v>
          </cell>
          <cell r="C44">
            <v>-193.30900000000003</v>
          </cell>
          <cell r="D44">
            <v>-193.30900000000003</v>
          </cell>
          <cell r="E44">
            <v>-193.30900000000003</v>
          </cell>
          <cell r="F44">
            <v>38</v>
          </cell>
          <cell r="G44">
            <v>-16.109083333333334</v>
          </cell>
          <cell r="H44">
            <v>-16.109083333333334</v>
          </cell>
          <cell r="I44">
            <v>-16.109083333333334</v>
          </cell>
        </row>
        <row r="45">
          <cell r="A45">
            <v>39</v>
          </cell>
          <cell r="B45">
            <v>39</v>
          </cell>
          <cell r="C45">
            <v>-193.30900000000003</v>
          </cell>
          <cell r="D45">
            <v>-193.30900000000003</v>
          </cell>
          <cell r="E45">
            <v>-193.30900000000003</v>
          </cell>
          <cell r="F45">
            <v>39</v>
          </cell>
          <cell r="G45">
            <v>-16.109083333333334</v>
          </cell>
          <cell r="H45">
            <v>-16.109083333333334</v>
          </cell>
          <cell r="I45">
            <v>-16.109083333333334</v>
          </cell>
        </row>
        <row r="46">
          <cell r="A46">
            <v>40</v>
          </cell>
          <cell r="B46">
            <v>40</v>
          </cell>
          <cell r="C46">
            <v>-193.30900000000003</v>
          </cell>
          <cell r="D46">
            <v>-193.30900000000003</v>
          </cell>
          <cell r="E46">
            <v>-193.30900000000003</v>
          </cell>
          <cell r="F46">
            <v>40</v>
          </cell>
          <cell r="G46">
            <v>-16.109083333333334</v>
          </cell>
          <cell r="H46">
            <v>-16.109083333333334</v>
          </cell>
          <cell r="I46">
            <v>-16.109083333333334</v>
          </cell>
        </row>
        <row r="47">
          <cell r="A47">
            <v>41</v>
          </cell>
          <cell r="B47">
            <v>41</v>
          </cell>
          <cell r="C47">
            <v>-193.30900000000003</v>
          </cell>
          <cell r="D47">
            <v>-193.30900000000003</v>
          </cell>
          <cell r="E47">
            <v>-193.30900000000003</v>
          </cell>
          <cell r="F47">
            <v>41</v>
          </cell>
          <cell r="G47">
            <v>-16.109083333333334</v>
          </cell>
          <cell r="H47">
            <v>-16.109083333333334</v>
          </cell>
          <cell r="I47">
            <v>-16.109083333333334</v>
          </cell>
        </row>
        <row r="48">
          <cell r="A48">
            <v>42</v>
          </cell>
          <cell r="B48">
            <v>42</v>
          </cell>
          <cell r="C48">
            <v>-193.30900000000003</v>
          </cell>
          <cell r="D48">
            <v>-193.30900000000003</v>
          </cell>
          <cell r="E48">
            <v>-193.30900000000003</v>
          </cell>
          <cell r="F48">
            <v>42</v>
          </cell>
          <cell r="G48">
            <v>-16.109083333333334</v>
          </cell>
          <cell r="H48">
            <v>-16.109083333333334</v>
          </cell>
          <cell r="I48">
            <v>-16.109083333333334</v>
          </cell>
        </row>
        <row r="49">
          <cell r="A49">
            <v>43</v>
          </cell>
          <cell r="B49">
            <v>43</v>
          </cell>
          <cell r="C49">
            <v>-193.30900000000003</v>
          </cell>
          <cell r="D49">
            <v>-193.30900000000003</v>
          </cell>
          <cell r="E49">
            <v>-193.30900000000003</v>
          </cell>
          <cell r="F49">
            <v>43</v>
          </cell>
          <cell r="G49">
            <v>-16.109083333333334</v>
          </cell>
          <cell r="H49">
            <v>-16.109083333333334</v>
          </cell>
          <cell r="I49">
            <v>-16.109083333333334</v>
          </cell>
        </row>
        <row r="50">
          <cell r="A50">
            <v>44</v>
          </cell>
          <cell r="B50">
            <v>44</v>
          </cell>
          <cell r="C50">
            <v>-193.30900000000003</v>
          </cell>
          <cell r="D50">
            <v>-193.30900000000003</v>
          </cell>
          <cell r="E50">
            <v>-193.30900000000003</v>
          </cell>
          <cell r="F50">
            <v>44</v>
          </cell>
          <cell r="G50">
            <v>-16.109083333333334</v>
          </cell>
          <cell r="H50">
            <v>-16.109083333333334</v>
          </cell>
          <cell r="I50">
            <v>-16.109083333333334</v>
          </cell>
        </row>
        <row r="51">
          <cell r="A51">
            <v>45</v>
          </cell>
          <cell r="B51">
            <v>45</v>
          </cell>
          <cell r="C51">
            <v>-193.30900000000003</v>
          </cell>
          <cell r="D51">
            <v>-193.30900000000003</v>
          </cell>
          <cell r="E51">
            <v>-193.30900000000003</v>
          </cell>
          <cell r="F51">
            <v>45</v>
          </cell>
          <cell r="G51">
            <v>-16.109083333333334</v>
          </cell>
          <cell r="H51">
            <v>-16.109083333333334</v>
          </cell>
          <cell r="I51">
            <v>-16.109083333333334</v>
          </cell>
        </row>
        <row r="52">
          <cell r="A52">
            <v>46</v>
          </cell>
          <cell r="B52">
            <v>46</v>
          </cell>
          <cell r="C52">
            <v>-193.30900000000003</v>
          </cell>
          <cell r="D52">
            <v>-193.30900000000003</v>
          </cell>
          <cell r="E52">
            <v>-193.30900000000003</v>
          </cell>
          <cell r="F52">
            <v>46</v>
          </cell>
          <cell r="G52">
            <v>-16.109083333333334</v>
          </cell>
          <cell r="H52">
            <v>-16.109083333333334</v>
          </cell>
          <cell r="I52">
            <v>-16.109083333333334</v>
          </cell>
        </row>
        <row r="53">
          <cell r="A53">
            <v>47</v>
          </cell>
          <cell r="B53">
            <v>47</v>
          </cell>
          <cell r="C53">
            <v>-193.30900000000003</v>
          </cell>
          <cell r="D53">
            <v>-193.30900000000003</v>
          </cell>
          <cell r="E53">
            <v>-193.30900000000003</v>
          </cell>
          <cell r="F53">
            <v>47</v>
          </cell>
          <cell r="G53">
            <v>-16.109083333333334</v>
          </cell>
          <cell r="H53">
            <v>-16.109083333333334</v>
          </cell>
          <cell r="I53">
            <v>-16.109083333333334</v>
          </cell>
        </row>
        <row r="54">
          <cell r="A54">
            <v>48</v>
          </cell>
          <cell r="B54">
            <v>48</v>
          </cell>
          <cell r="C54">
            <v>-193.30900000000003</v>
          </cell>
          <cell r="D54">
            <v>-193.30900000000003</v>
          </cell>
          <cell r="E54">
            <v>-193.30900000000003</v>
          </cell>
          <cell r="F54">
            <v>48</v>
          </cell>
          <cell r="G54">
            <v>-16.109083333333334</v>
          </cell>
          <cell r="H54">
            <v>-16.109083333333334</v>
          </cell>
          <cell r="I54">
            <v>-16.109083333333334</v>
          </cell>
        </row>
        <row r="55">
          <cell r="A55">
            <v>49</v>
          </cell>
          <cell r="B55">
            <v>49</v>
          </cell>
          <cell r="C55">
            <v>-193.30900000000003</v>
          </cell>
          <cell r="D55">
            <v>-193.30900000000003</v>
          </cell>
          <cell r="E55">
            <v>-193.30900000000003</v>
          </cell>
          <cell r="F55">
            <v>49</v>
          </cell>
          <cell r="G55">
            <v>-16.109083333333334</v>
          </cell>
          <cell r="H55">
            <v>-16.109083333333334</v>
          </cell>
          <cell r="I55">
            <v>-16.109083333333334</v>
          </cell>
        </row>
        <row r="56">
          <cell r="A56">
            <v>50</v>
          </cell>
          <cell r="B56">
            <v>50</v>
          </cell>
          <cell r="C56">
            <v>-193.30900000000003</v>
          </cell>
          <cell r="D56">
            <v>-193.30900000000003</v>
          </cell>
          <cell r="E56">
            <v>-193.30900000000003</v>
          </cell>
          <cell r="F56">
            <v>50</v>
          </cell>
          <cell r="G56">
            <v>-16.109083333333334</v>
          </cell>
          <cell r="H56">
            <v>-16.109083333333334</v>
          </cell>
          <cell r="I56">
            <v>-16.109083333333334</v>
          </cell>
        </row>
        <row r="57">
          <cell r="A57">
            <v>51</v>
          </cell>
          <cell r="B57">
            <v>51</v>
          </cell>
          <cell r="C57">
            <v>-193.30900000000003</v>
          </cell>
          <cell r="D57">
            <v>-193.30900000000003</v>
          </cell>
          <cell r="E57">
            <v>-193.30900000000003</v>
          </cell>
          <cell r="F57">
            <v>51</v>
          </cell>
          <cell r="G57">
            <v>-16.109083333333334</v>
          </cell>
          <cell r="H57">
            <v>-16.109083333333334</v>
          </cell>
          <cell r="I57">
            <v>-16.109083333333334</v>
          </cell>
        </row>
        <row r="58">
          <cell r="A58">
            <v>52</v>
          </cell>
          <cell r="B58">
            <v>52</v>
          </cell>
          <cell r="C58">
            <v>-193.30900000000003</v>
          </cell>
          <cell r="D58">
            <v>-193.30900000000003</v>
          </cell>
          <cell r="E58">
            <v>-193.30900000000003</v>
          </cell>
          <cell r="F58">
            <v>52</v>
          </cell>
          <cell r="G58">
            <v>-16.109083333333334</v>
          </cell>
          <cell r="H58">
            <v>-16.109083333333334</v>
          </cell>
          <cell r="I58">
            <v>-16.109083333333334</v>
          </cell>
        </row>
        <row r="59">
          <cell r="A59">
            <v>53</v>
          </cell>
          <cell r="B59">
            <v>53</v>
          </cell>
          <cell r="C59">
            <v>-193.30900000000003</v>
          </cell>
          <cell r="D59">
            <v>-193.30900000000003</v>
          </cell>
          <cell r="E59">
            <v>-193.30900000000003</v>
          </cell>
          <cell r="F59">
            <v>53</v>
          </cell>
          <cell r="G59">
            <v>-16.109083333333334</v>
          </cell>
          <cell r="H59">
            <v>-16.109083333333334</v>
          </cell>
          <cell r="I59">
            <v>-16.109083333333334</v>
          </cell>
        </row>
        <row r="60">
          <cell r="A60">
            <v>54</v>
          </cell>
          <cell r="B60">
            <v>54</v>
          </cell>
          <cell r="C60">
            <v>-193.30900000000003</v>
          </cell>
          <cell r="D60">
            <v>-193.30900000000003</v>
          </cell>
          <cell r="E60">
            <v>-193.30900000000003</v>
          </cell>
          <cell r="F60">
            <v>54</v>
          </cell>
          <cell r="G60">
            <v>-16.109083333333334</v>
          </cell>
          <cell r="H60">
            <v>-16.109083333333334</v>
          </cell>
          <cell r="I60">
            <v>-16.109083333333334</v>
          </cell>
        </row>
        <row r="61">
          <cell r="A61">
            <v>55</v>
          </cell>
          <cell r="B61">
            <v>55</v>
          </cell>
          <cell r="C61">
            <v>-193.30900000000003</v>
          </cell>
          <cell r="D61">
            <v>-193.30900000000003</v>
          </cell>
          <cell r="E61">
            <v>-193.30900000000003</v>
          </cell>
          <cell r="F61">
            <v>55</v>
          </cell>
          <cell r="G61">
            <v>-16.109083333333334</v>
          </cell>
          <cell r="H61">
            <v>-16.109083333333334</v>
          </cell>
          <cell r="I61">
            <v>-16.109083333333334</v>
          </cell>
        </row>
        <row r="62">
          <cell r="A62">
            <v>56</v>
          </cell>
          <cell r="B62">
            <v>56</v>
          </cell>
          <cell r="C62">
            <v>-193.30900000000003</v>
          </cell>
          <cell r="D62">
            <v>-193.30900000000003</v>
          </cell>
          <cell r="E62">
            <v>-193.30900000000003</v>
          </cell>
          <cell r="F62">
            <v>56</v>
          </cell>
          <cell r="G62">
            <v>-16.109083333333334</v>
          </cell>
          <cell r="H62">
            <v>-16.109083333333334</v>
          </cell>
          <cell r="I62">
            <v>-16.109083333333334</v>
          </cell>
        </row>
        <row r="63">
          <cell r="A63">
            <v>57</v>
          </cell>
          <cell r="B63">
            <v>57</v>
          </cell>
          <cell r="C63">
            <v>-193.30900000000003</v>
          </cell>
          <cell r="D63">
            <v>-193.30900000000003</v>
          </cell>
          <cell r="E63">
            <v>-193.30900000000003</v>
          </cell>
          <cell r="F63">
            <v>57</v>
          </cell>
          <cell r="G63">
            <v>-16.109083333333334</v>
          </cell>
          <cell r="H63">
            <v>-16.109083333333334</v>
          </cell>
          <cell r="I63">
            <v>-16.109083333333334</v>
          </cell>
        </row>
        <row r="64">
          <cell r="A64">
            <v>58</v>
          </cell>
          <cell r="B64">
            <v>58</v>
          </cell>
          <cell r="C64">
            <v>-193.30900000000003</v>
          </cell>
          <cell r="D64">
            <v>-193.30900000000003</v>
          </cell>
          <cell r="E64">
            <v>-193.30900000000003</v>
          </cell>
          <cell r="F64">
            <v>58</v>
          </cell>
          <cell r="G64">
            <v>-16.109083333333334</v>
          </cell>
          <cell r="H64">
            <v>-16.109083333333334</v>
          </cell>
          <cell r="I64">
            <v>-16.109083333333334</v>
          </cell>
        </row>
        <row r="65">
          <cell r="A65">
            <v>59</v>
          </cell>
          <cell r="B65">
            <v>59</v>
          </cell>
          <cell r="C65">
            <v>-193.30900000000003</v>
          </cell>
          <cell r="D65">
            <v>-193.30900000000003</v>
          </cell>
          <cell r="E65">
            <v>-193.30900000000003</v>
          </cell>
          <cell r="F65">
            <v>59</v>
          </cell>
          <cell r="G65">
            <v>-16.109083333333334</v>
          </cell>
          <cell r="H65">
            <v>-16.109083333333334</v>
          </cell>
          <cell r="I65">
            <v>-16.109083333333334</v>
          </cell>
        </row>
        <row r="66">
          <cell r="A66">
            <v>60</v>
          </cell>
          <cell r="B66">
            <v>60</v>
          </cell>
          <cell r="C66">
            <v>-193.30900000000003</v>
          </cell>
          <cell r="D66">
            <v>-193.30900000000003</v>
          </cell>
          <cell r="E66">
            <v>-193.30900000000003</v>
          </cell>
          <cell r="F66">
            <v>60</v>
          </cell>
          <cell r="G66">
            <v>-16.109083333333334</v>
          </cell>
          <cell r="H66">
            <v>-16.109083333333334</v>
          </cell>
          <cell r="I66">
            <v>-16.109083333333334</v>
          </cell>
        </row>
        <row r="67">
          <cell r="A67">
            <v>61</v>
          </cell>
          <cell r="B67">
            <v>0</v>
          </cell>
          <cell r="C67">
            <v>0</v>
          </cell>
          <cell r="D67">
            <v>-193.30900000000003</v>
          </cell>
          <cell r="E67">
            <v>-193.30900000000003</v>
          </cell>
          <cell r="F67">
            <v>0</v>
          </cell>
          <cell r="G67">
            <v>0</v>
          </cell>
          <cell r="H67">
            <v>-16.109083333333334</v>
          </cell>
          <cell r="I67">
            <v>-16.109083333333334</v>
          </cell>
        </row>
        <row r="68">
          <cell r="A68">
            <v>62</v>
          </cell>
          <cell r="B68">
            <v>0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</row>
        <row r="69">
          <cell r="A69">
            <v>63</v>
          </cell>
          <cell r="B69">
            <v>0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</row>
        <row r="70">
          <cell r="A70">
            <v>64</v>
          </cell>
          <cell r="B70">
            <v>0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</row>
        <row r="71">
          <cell r="A71">
            <v>65</v>
          </cell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</row>
        <row r="72">
          <cell r="A72">
            <v>66</v>
          </cell>
          <cell r="B72">
            <v>0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</row>
        <row r="73">
          <cell r="A73">
            <v>67</v>
          </cell>
          <cell r="B73">
            <v>0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</row>
        <row r="74">
          <cell r="A74">
            <v>68</v>
          </cell>
          <cell r="B74">
            <v>0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</row>
        <row r="75">
          <cell r="A75">
            <v>69</v>
          </cell>
          <cell r="B75">
            <v>0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</row>
        <row r="76">
          <cell r="A76">
            <v>70</v>
          </cell>
          <cell r="B76">
            <v>0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</row>
        <row r="77">
          <cell r="A77">
            <v>71</v>
          </cell>
          <cell r="B77">
            <v>0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</row>
        <row r="78">
          <cell r="A78">
            <v>72</v>
          </cell>
          <cell r="B78">
            <v>0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</row>
        <row r="79">
          <cell r="A79">
            <v>73</v>
          </cell>
          <cell r="B79">
            <v>0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</row>
        <row r="80">
          <cell r="A80">
            <v>74</v>
          </cell>
          <cell r="B80">
            <v>0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</row>
        <row r="81">
          <cell r="A81">
            <v>75</v>
          </cell>
          <cell r="B81">
            <v>0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</row>
        <row r="82">
          <cell r="A82">
            <v>76</v>
          </cell>
          <cell r="B82">
            <v>0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</row>
        <row r="83">
          <cell r="A83">
            <v>77</v>
          </cell>
          <cell r="B83">
            <v>0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</row>
        <row r="84">
          <cell r="A84">
            <v>78</v>
          </cell>
          <cell r="B84">
            <v>0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</row>
        <row r="85">
          <cell r="A85">
            <v>79</v>
          </cell>
          <cell r="B85">
            <v>0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</row>
        <row r="86">
          <cell r="A86">
            <v>80</v>
          </cell>
          <cell r="B86">
            <v>0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</row>
        <row r="87">
          <cell r="A87">
            <v>81</v>
          </cell>
          <cell r="B87">
            <v>0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</row>
        <row r="88">
          <cell r="A88">
            <v>82</v>
          </cell>
          <cell r="B88">
            <v>0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</row>
        <row r="89">
          <cell r="A89">
            <v>83</v>
          </cell>
          <cell r="B89">
            <v>0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</row>
        <row r="90">
          <cell r="A90">
            <v>84</v>
          </cell>
          <cell r="B90">
            <v>0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</row>
        <row r="91">
          <cell r="A91">
            <v>85</v>
          </cell>
          <cell r="B91">
            <v>0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</row>
        <row r="92">
          <cell r="A92">
            <v>86</v>
          </cell>
          <cell r="B92">
            <v>0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</row>
        <row r="93">
          <cell r="A93">
            <v>87</v>
          </cell>
          <cell r="B93">
            <v>0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</row>
        <row r="94">
          <cell r="A94">
            <v>88</v>
          </cell>
          <cell r="B94">
            <v>0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</row>
        <row r="95">
          <cell r="A95">
            <v>89</v>
          </cell>
          <cell r="B95">
            <v>0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</row>
        <row r="96">
          <cell r="A96">
            <v>90</v>
          </cell>
          <cell r="B96">
            <v>0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</row>
        <row r="97">
          <cell r="A97">
            <v>91</v>
          </cell>
          <cell r="B97">
            <v>0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</row>
        <row r="98">
          <cell r="A98">
            <v>92</v>
          </cell>
          <cell r="B98">
            <v>0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</row>
        <row r="99">
          <cell r="A99">
            <v>93</v>
          </cell>
          <cell r="B99">
            <v>0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</row>
        <row r="100">
          <cell r="A100">
            <v>94</v>
          </cell>
          <cell r="B100">
            <v>0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</row>
        <row r="101">
          <cell r="A101">
            <v>95</v>
          </cell>
          <cell r="B101">
            <v>0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</row>
        <row r="102">
          <cell r="A102">
            <v>96</v>
          </cell>
          <cell r="B102">
            <v>0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</row>
        <row r="103">
          <cell r="A103">
            <v>97</v>
          </cell>
          <cell r="B103">
            <v>0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</row>
        <row r="104">
          <cell r="A104">
            <v>98</v>
          </cell>
          <cell r="B104">
            <v>0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</row>
        <row r="105">
          <cell r="A105">
            <v>99</v>
          </cell>
          <cell r="B105">
            <v>0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</row>
        <row r="106">
          <cell r="A106">
            <v>100</v>
          </cell>
          <cell r="B106">
            <v>0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</row>
        <row r="107">
          <cell r="A107">
            <v>101</v>
          </cell>
          <cell r="B107">
            <v>0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</row>
        <row r="108">
          <cell r="A108">
            <v>102</v>
          </cell>
          <cell r="B108">
            <v>0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</row>
        <row r="109">
          <cell r="A109">
            <v>103</v>
          </cell>
          <cell r="B109">
            <v>0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</row>
        <row r="110">
          <cell r="A110">
            <v>104</v>
          </cell>
          <cell r="B110">
            <v>0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</row>
        <row r="111">
          <cell r="A111">
            <v>105</v>
          </cell>
          <cell r="B111">
            <v>0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</row>
        <row r="112">
          <cell r="A112">
            <v>106</v>
          </cell>
          <cell r="B112">
            <v>0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</row>
        <row r="113">
          <cell r="A113">
            <v>107</v>
          </cell>
          <cell r="B113">
            <v>0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</row>
        <row r="114">
          <cell r="A114">
            <v>108</v>
          </cell>
          <cell r="B114">
            <v>0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</row>
        <row r="115">
          <cell r="A115">
            <v>109</v>
          </cell>
          <cell r="B115">
            <v>0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</row>
        <row r="116">
          <cell r="A116">
            <v>110</v>
          </cell>
          <cell r="B116">
            <v>0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</row>
        <row r="117">
          <cell r="A117">
            <v>111</v>
          </cell>
          <cell r="B117">
            <v>0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</row>
        <row r="118">
          <cell r="A118">
            <v>112</v>
          </cell>
          <cell r="B118">
            <v>0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</row>
        <row r="119">
          <cell r="A119">
            <v>113</v>
          </cell>
          <cell r="B119">
            <v>0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</row>
        <row r="120">
          <cell r="A120">
            <v>114</v>
          </cell>
          <cell r="B120">
            <v>0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</row>
        <row r="121">
          <cell r="A121">
            <v>115</v>
          </cell>
          <cell r="B121">
            <v>0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</row>
        <row r="122">
          <cell r="A122">
            <v>116</v>
          </cell>
          <cell r="B122">
            <v>0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</row>
        <row r="123">
          <cell r="A123">
            <v>117</v>
          </cell>
          <cell r="B123">
            <v>0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</row>
        <row r="124">
          <cell r="A124">
            <v>118</v>
          </cell>
          <cell r="B124">
            <v>0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</row>
        <row r="125">
          <cell r="A125">
            <v>119</v>
          </cell>
          <cell r="B125">
            <v>0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</row>
        <row r="126">
          <cell r="A126">
            <v>120</v>
          </cell>
          <cell r="B126">
            <v>0</v>
          </cell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</row>
        <row r="127">
          <cell r="A127">
            <v>121</v>
          </cell>
          <cell r="B127">
            <v>0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</row>
        <row r="128">
          <cell r="A128">
            <v>122</v>
          </cell>
          <cell r="B128">
            <v>0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</row>
        <row r="129">
          <cell r="A129">
            <v>123</v>
          </cell>
          <cell r="B129">
            <v>0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</row>
        <row r="130">
          <cell r="A130">
            <v>124</v>
          </cell>
          <cell r="B130">
            <v>0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</row>
        <row r="131">
          <cell r="A131">
            <v>125</v>
          </cell>
          <cell r="B131">
            <v>0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</row>
        <row r="132">
          <cell r="A132">
            <v>126</v>
          </cell>
          <cell r="B132">
            <v>0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</row>
        <row r="133">
          <cell r="A133">
            <v>127</v>
          </cell>
          <cell r="B133">
            <v>0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</row>
        <row r="134">
          <cell r="A134">
            <v>128</v>
          </cell>
          <cell r="B134">
            <v>0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</row>
        <row r="135">
          <cell r="A135">
            <v>129</v>
          </cell>
          <cell r="B135">
            <v>0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</row>
        <row r="136">
          <cell r="A136">
            <v>130</v>
          </cell>
          <cell r="B136">
            <v>0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</row>
        <row r="137">
          <cell r="A137">
            <v>131</v>
          </cell>
          <cell r="B137">
            <v>0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</row>
        <row r="138">
          <cell r="A138">
            <v>132</v>
          </cell>
          <cell r="B138">
            <v>0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</row>
        <row r="139">
          <cell r="A139">
            <v>133</v>
          </cell>
          <cell r="B139">
            <v>0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</row>
        <row r="140">
          <cell r="A140">
            <v>134</v>
          </cell>
          <cell r="B140">
            <v>0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</row>
        <row r="141">
          <cell r="A141">
            <v>135</v>
          </cell>
          <cell r="B141">
            <v>0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</row>
        <row r="142">
          <cell r="A142">
            <v>136</v>
          </cell>
          <cell r="B142">
            <v>0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</row>
        <row r="143">
          <cell r="A143">
            <v>137</v>
          </cell>
          <cell r="B143">
            <v>0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</row>
        <row r="144">
          <cell r="A144">
            <v>138</v>
          </cell>
          <cell r="B144">
            <v>0</v>
          </cell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</row>
        <row r="145">
          <cell r="A145">
            <v>139</v>
          </cell>
          <cell r="B145">
            <v>0</v>
          </cell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</row>
        <row r="146">
          <cell r="A146">
            <v>140</v>
          </cell>
          <cell r="B146">
            <v>0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</row>
        <row r="147">
          <cell r="A147">
            <v>141</v>
          </cell>
          <cell r="B147">
            <v>0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</row>
        <row r="148">
          <cell r="A148">
            <v>142</v>
          </cell>
          <cell r="B148">
            <v>0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</row>
        <row r="149">
          <cell r="A149">
            <v>143</v>
          </cell>
          <cell r="B149">
            <v>0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</row>
        <row r="150">
          <cell r="A150">
            <v>144</v>
          </cell>
          <cell r="B150">
            <v>0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</row>
        <row r="151">
          <cell r="A151">
            <v>145</v>
          </cell>
          <cell r="B151">
            <v>0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</row>
        <row r="152">
          <cell r="A152">
            <v>146</v>
          </cell>
          <cell r="B152">
            <v>0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</row>
        <row r="153">
          <cell r="A153">
            <v>147</v>
          </cell>
          <cell r="B153">
            <v>0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</row>
        <row r="154">
          <cell r="A154">
            <v>148</v>
          </cell>
          <cell r="B154">
            <v>0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</row>
        <row r="155">
          <cell r="A155">
            <v>149</v>
          </cell>
          <cell r="B155">
            <v>0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</row>
        <row r="156">
          <cell r="A156">
            <v>150</v>
          </cell>
          <cell r="B156">
            <v>0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</row>
        <row r="157">
          <cell r="A157">
            <v>151</v>
          </cell>
          <cell r="B157">
            <v>0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</row>
        <row r="158">
          <cell r="A158">
            <v>152</v>
          </cell>
          <cell r="B158">
            <v>0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</row>
        <row r="159">
          <cell r="A159">
            <v>153</v>
          </cell>
          <cell r="B159">
            <v>0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</row>
        <row r="160">
          <cell r="A160">
            <v>154</v>
          </cell>
          <cell r="B160">
            <v>0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</row>
        <row r="161">
          <cell r="A161">
            <v>155</v>
          </cell>
          <cell r="B161">
            <v>0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</row>
        <row r="162">
          <cell r="A162">
            <v>156</v>
          </cell>
          <cell r="B162">
            <v>0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</row>
        <row r="163">
          <cell r="A163">
            <v>157</v>
          </cell>
          <cell r="B163">
            <v>0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</row>
        <row r="164">
          <cell r="A164">
            <v>158</v>
          </cell>
          <cell r="B164">
            <v>0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</row>
        <row r="165">
          <cell r="A165">
            <v>159</v>
          </cell>
          <cell r="B165">
            <v>0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</row>
        <row r="166">
          <cell r="A166">
            <v>160</v>
          </cell>
          <cell r="B166">
            <v>0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</row>
        <row r="167">
          <cell r="A167">
            <v>161</v>
          </cell>
          <cell r="B167">
            <v>0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</row>
        <row r="168">
          <cell r="A168">
            <v>162</v>
          </cell>
          <cell r="B168">
            <v>0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</row>
        <row r="169">
          <cell r="A169">
            <v>163</v>
          </cell>
          <cell r="B169">
            <v>0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</row>
        <row r="170">
          <cell r="A170">
            <v>164</v>
          </cell>
          <cell r="B170">
            <v>0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</row>
        <row r="171">
          <cell r="A171">
            <v>165</v>
          </cell>
          <cell r="B171">
            <v>0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</row>
        <row r="172">
          <cell r="A172">
            <v>166</v>
          </cell>
          <cell r="B172">
            <v>0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</row>
        <row r="173">
          <cell r="A173">
            <v>167</v>
          </cell>
          <cell r="B173">
            <v>0</v>
          </cell>
          <cell r="C173">
            <v>0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</row>
        <row r="174">
          <cell r="A174">
            <v>168</v>
          </cell>
          <cell r="B174">
            <v>0</v>
          </cell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</row>
        <row r="175">
          <cell r="A175">
            <v>169</v>
          </cell>
          <cell r="B175">
            <v>0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</row>
        <row r="176">
          <cell r="A176">
            <v>170</v>
          </cell>
          <cell r="B176">
            <v>0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</row>
        <row r="177">
          <cell r="A177">
            <v>171</v>
          </cell>
          <cell r="B177">
            <v>0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</row>
        <row r="178">
          <cell r="A178">
            <v>172</v>
          </cell>
          <cell r="B178">
            <v>0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</row>
        <row r="179">
          <cell r="A179">
            <v>173</v>
          </cell>
          <cell r="B179">
            <v>0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</row>
        <row r="180">
          <cell r="A180">
            <v>174</v>
          </cell>
          <cell r="B180">
            <v>0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</row>
        <row r="181">
          <cell r="A181">
            <v>175</v>
          </cell>
          <cell r="B181">
            <v>0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</row>
        <row r="182">
          <cell r="A182">
            <v>176</v>
          </cell>
          <cell r="B182">
            <v>0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</row>
        <row r="183">
          <cell r="A183">
            <v>177</v>
          </cell>
          <cell r="B183">
            <v>0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</row>
        <row r="184">
          <cell r="A184">
            <v>178</v>
          </cell>
          <cell r="B184">
            <v>0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</row>
        <row r="185">
          <cell r="A185">
            <v>179</v>
          </cell>
          <cell r="B185">
            <v>0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</row>
        <row r="186">
          <cell r="A186">
            <v>180</v>
          </cell>
          <cell r="B186">
            <v>0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</row>
      </sheetData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>
        <row r="7">
          <cell r="B7" t="str">
            <v>Client Code</v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008"/>
      <sheetName val="MoneyHistory"/>
      <sheetName val="AllTrans"/>
      <sheetName val="Importing"/>
      <sheetName val="Minerva"/>
      <sheetName val="Salary"/>
      <sheetName val="Sheet1"/>
    </sheetNames>
    <sheetDataSet>
      <sheetData sheetId="0">
        <row r="70">
          <cell r="C70">
            <v>3</v>
          </cell>
        </row>
        <row r="71">
          <cell r="C71">
            <v>125</v>
          </cell>
        </row>
        <row r="72">
          <cell r="C72">
            <v>3</v>
          </cell>
        </row>
        <row r="74">
          <cell r="C74">
            <v>90</v>
          </cell>
        </row>
      </sheetData>
      <sheetData sheetId="1">
        <row r="2">
          <cell r="L2">
            <v>2482.9482758620688</v>
          </cell>
          <cell r="AF2">
            <v>39613</v>
          </cell>
        </row>
        <row r="3">
          <cell r="A3" t="str">
            <v>Activities</v>
          </cell>
          <cell r="B3">
            <v>38899</v>
          </cell>
          <cell r="C3">
            <v>39507</v>
          </cell>
          <cell r="D3">
            <v>1260.665</v>
          </cell>
          <cell r="E3">
            <v>63.067807702850878</v>
          </cell>
          <cell r="G3">
            <v>2008</v>
          </cell>
          <cell r="H3">
            <v>39</v>
          </cell>
          <cell r="I3">
            <v>1155</v>
          </cell>
          <cell r="Q3">
            <v>3</v>
          </cell>
          <cell r="R3">
            <v>13144</v>
          </cell>
          <cell r="AD3" t="str">
            <v>DXB</v>
          </cell>
        </row>
        <row r="4">
          <cell r="A4" t="str">
            <v>Associations</v>
          </cell>
          <cell r="B4">
            <v>38899</v>
          </cell>
          <cell r="C4">
            <v>39507</v>
          </cell>
          <cell r="D4">
            <v>566.5958333333333</v>
          </cell>
          <cell r="E4">
            <v>28.345323350694443</v>
          </cell>
          <cell r="G4">
            <v>2009</v>
          </cell>
          <cell r="H4">
            <v>40</v>
          </cell>
          <cell r="I4">
            <v>1309</v>
          </cell>
          <cell r="Q4">
            <v>4</v>
          </cell>
          <cell r="R4">
            <v>15108</v>
          </cell>
          <cell r="AD4" t="str">
            <v>Geelong</v>
          </cell>
        </row>
        <row r="5">
          <cell r="A5" t="str">
            <v>Autumn Electricity</v>
          </cell>
          <cell r="B5">
            <v>38899</v>
          </cell>
          <cell r="C5">
            <v>39507</v>
          </cell>
          <cell r="D5">
            <v>2174.1750000000002</v>
          </cell>
          <cell r="E5">
            <v>108.76834909539475</v>
          </cell>
          <cell r="G5">
            <v>2010</v>
          </cell>
          <cell r="H5">
            <v>41</v>
          </cell>
          <cell r="I5">
            <v>1309</v>
          </cell>
          <cell r="Q5">
            <v>5</v>
          </cell>
          <cell r="R5">
            <v>15108</v>
          </cell>
          <cell r="AD5" t="str">
            <v>Holiday</v>
          </cell>
        </row>
        <row r="6">
          <cell r="A6" t="str">
            <v>Autumn Gas</v>
          </cell>
          <cell r="B6">
            <v>38899</v>
          </cell>
          <cell r="C6">
            <v>39507</v>
          </cell>
          <cell r="D6">
            <v>1333.4508333333335</v>
          </cell>
          <cell r="E6">
            <v>66.709094595211994</v>
          </cell>
          <cell r="G6">
            <v>2011</v>
          </cell>
          <cell r="H6">
            <v>42</v>
          </cell>
          <cell r="I6">
            <v>1309</v>
          </cell>
          <cell r="Q6">
            <v>6</v>
          </cell>
          <cell r="R6">
            <v>15108</v>
          </cell>
          <cell r="AD6" t="str">
            <v>Other</v>
          </cell>
        </row>
        <row r="7">
          <cell r="A7" t="str">
            <v>Autumn WaterSewage</v>
          </cell>
          <cell r="B7">
            <v>38899</v>
          </cell>
          <cell r="C7">
            <v>39507</v>
          </cell>
          <cell r="D7">
            <v>1339.2833333333335</v>
          </cell>
          <cell r="E7">
            <v>67.000879477339197</v>
          </cell>
          <cell r="G7">
            <v>2012</v>
          </cell>
          <cell r="H7">
            <v>43</v>
          </cell>
          <cell r="I7">
            <v>1309</v>
          </cell>
          <cell r="Q7">
            <v>7</v>
          </cell>
          <cell r="R7">
            <v>17144</v>
          </cell>
          <cell r="AD7" t="str">
            <v>Overseas</v>
          </cell>
        </row>
        <row r="8">
          <cell r="A8" t="str">
            <v>Baby Sitting</v>
          </cell>
          <cell r="B8">
            <v>38899</v>
          </cell>
          <cell r="C8">
            <v>39507</v>
          </cell>
          <cell r="D8">
            <v>786</v>
          </cell>
          <cell r="E8">
            <v>39.321546052631582</v>
          </cell>
          <cell r="G8">
            <v>2013</v>
          </cell>
          <cell r="H8">
            <v>44</v>
          </cell>
          <cell r="I8">
            <v>1309</v>
          </cell>
          <cell r="Q8">
            <v>8</v>
          </cell>
          <cell r="R8">
            <v>17144</v>
          </cell>
          <cell r="AD8" t="str">
            <v>Work</v>
          </cell>
        </row>
        <row r="9">
          <cell r="A9" t="str">
            <v>Bank Charges</v>
          </cell>
          <cell r="B9">
            <v>38899</v>
          </cell>
          <cell r="C9">
            <v>39507</v>
          </cell>
          <cell r="D9">
            <v>3882.8850000000002</v>
          </cell>
          <cell r="E9">
            <v>194.25068873355264</v>
          </cell>
          <cell r="G9">
            <v>2014</v>
          </cell>
          <cell r="H9">
            <v>45</v>
          </cell>
          <cell r="I9">
            <v>1463</v>
          </cell>
          <cell r="Q9">
            <v>9</v>
          </cell>
          <cell r="R9">
            <v>18304</v>
          </cell>
        </row>
        <row r="10">
          <cell r="A10" t="str">
            <v>Books, Videos, Magazines</v>
          </cell>
          <cell r="B10">
            <v>38899</v>
          </cell>
          <cell r="C10">
            <v>39507</v>
          </cell>
          <cell r="D10">
            <v>4840.9824999999992</v>
          </cell>
          <cell r="E10">
            <v>242.18182737116226</v>
          </cell>
          <cell r="G10">
            <v>2015</v>
          </cell>
          <cell r="H10">
            <v>46</v>
          </cell>
          <cell r="I10">
            <v>1463</v>
          </cell>
          <cell r="Q10">
            <v>10</v>
          </cell>
          <cell r="R10">
            <v>18304</v>
          </cell>
        </row>
        <row r="11">
          <cell r="A11" t="str">
            <v>Car City Link</v>
          </cell>
          <cell r="B11">
            <v>38899</v>
          </cell>
          <cell r="C11">
            <v>39507</v>
          </cell>
          <cell r="D11">
            <v>59.995833333333337</v>
          </cell>
          <cell r="E11">
            <v>3.0014362892909361</v>
          </cell>
          <cell r="G11">
            <v>2016</v>
          </cell>
          <cell r="H11">
            <v>47</v>
          </cell>
          <cell r="I11">
            <v>1463</v>
          </cell>
          <cell r="Q11">
            <v>11</v>
          </cell>
          <cell r="R11">
            <v>18304</v>
          </cell>
        </row>
        <row r="12">
          <cell r="A12" t="str">
            <v>Car Fines</v>
          </cell>
          <cell r="B12">
            <v>38899</v>
          </cell>
          <cell r="C12">
            <v>39507</v>
          </cell>
          <cell r="D12">
            <v>530.05833333333339</v>
          </cell>
          <cell r="E12">
            <v>26.517446774488306</v>
          </cell>
          <cell r="G12">
            <v>2017</v>
          </cell>
          <cell r="H12">
            <v>48</v>
          </cell>
          <cell r="I12">
            <v>1463</v>
          </cell>
          <cell r="Q12">
            <v>12</v>
          </cell>
          <cell r="R12">
            <v>18304</v>
          </cell>
        </row>
        <row r="13">
          <cell r="A13" t="str">
            <v>Car Maintenance</v>
          </cell>
          <cell r="B13">
            <v>38899</v>
          </cell>
          <cell r="C13">
            <v>39507</v>
          </cell>
          <cell r="D13">
            <v>6779.3058333333338</v>
          </cell>
          <cell r="E13">
            <v>339.15112790113307</v>
          </cell>
          <cell r="G13">
            <v>2018</v>
          </cell>
          <cell r="H13">
            <v>49</v>
          </cell>
          <cell r="I13">
            <v>1463</v>
          </cell>
        </row>
        <row r="14">
          <cell r="A14" t="str">
            <v>Charity</v>
          </cell>
          <cell r="B14">
            <v>38899</v>
          </cell>
          <cell r="C14">
            <v>39507</v>
          </cell>
          <cell r="D14">
            <v>137.86250000000001</v>
          </cell>
          <cell r="E14">
            <v>6.8969041255482466</v>
          </cell>
          <cell r="G14">
            <v>2019</v>
          </cell>
          <cell r="H14">
            <v>50</v>
          </cell>
          <cell r="I14">
            <v>1568.6</v>
          </cell>
        </row>
        <row r="15">
          <cell r="A15" t="str">
            <v>Chemist</v>
          </cell>
          <cell r="B15">
            <v>38899</v>
          </cell>
          <cell r="C15">
            <v>39507</v>
          </cell>
          <cell r="D15">
            <v>1728.2591666666667</v>
          </cell>
          <cell r="E15">
            <v>86.460333858735382</v>
          </cell>
          <cell r="G15">
            <v>2020</v>
          </cell>
          <cell r="H15">
            <v>51</v>
          </cell>
          <cell r="I15">
            <v>1568.6</v>
          </cell>
        </row>
        <row r="16">
          <cell r="A16" t="str">
            <v>Cinema</v>
          </cell>
          <cell r="B16">
            <v>38899</v>
          </cell>
          <cell r="C16">
            <v>39507</v>
          </cell>
          <cell r="D16">
            <v>995.02666666666687</v>
          </cell>
          <cell r="E16">
            <v>49.778609283625741</v>
          </cell>
          <cell r="G16">
            <v>2021</v>
          </cell>
          <cell r="H16">
            <v>52</v>
          </cell>
          <cell r="I16">
            <v>1568.6</v>
          </cell>
          <cell r="R16">
            <v>0.05</v>
          </cell>
        </row>
        <row r="17">
          <cell r="A17" t="str">
            <v>Clothing</v>
          </cell>
          <cell r="B17">
            <v>38899</v>
          </cell>
          <cell r="C17">
            <v>39507</v>
          </cell>
          <cell r="D17">
            <v>5042.3516666666665</v>
          </cell>
          <cell r="E17">
            <v>252.25580569261695</v>
          </cell>
          <cell r="G17">
            <v>2022</v>
          </cell>
          <cell r="H17">
            <v>53</v>
          </cell>
          <cell r="I17">
            <v>1782</v>
          </cell>
        </row>
        <row r="18">
          <cell r="A18" t="str">
            <v>Computer Books</v>
          </cell>
          <cell r="B18">
            <v>38899</v>
          </cell>
          <cell r="C18">
            <v>39507</v>
          </cell>
          <cell r="D18">
            <v>1119.6875000000002</v>
          </cell>
          <cell r="E18">
            <v>56.015068188048261</v>
          </cell>
          <cell r="G18">
            <v>2023</v>
          </cell>
          <cell r="H18">
            <v>54</v>
          </cell>
          <cell r="I18">
            <v>1782</v>
          </cell>
        </row>
        <row r="19">
          <cell r="A19" t="str">
            <v>Computer Hardware</v>
          </cell>
          <cell r="B19">
            <v>38899</v>
          </cell>
          <cell r="C19">
            <v>39507</v>
          </cell>
          <cell r="D19">
            <v>5089.7249999999995</v>
          </cell>
          <cell r="E19">
            <v>254.62577097039471</v>
          </cell>
          <cell r="G19">
            <v>2024</v>
          </cell>
          <cell r="H19">
            <v>55</v>
          </cell>
          <cell r="I19">
            <v>1782</v>
          </cell>
        </row>
        <row r="20">
          <cell r="A20" t="str">
            <v>Computer Software</v>
          </cell>
          <cell r="B20">
            <v>38899</v>
          </cell>
          <cell r="C20">
            <v>39507</v>
          </cell>
          <cell r="D20">
            <v>980.81750000000011</v>
          </cell>
          <cell r="E20">
            <v>49.067761444627202</v>
          </cell>
          <cell r="G20">
            <v>2025</v>
          </cell>
          <cell r="H20">
            <v>56</v>
          </cell>
          <cell r="I20">
            <v>2024</v>
          </cell>
          <cell r="T20">
            <v>2.4</v>
          </cell>
        </row>
        <row r="21">
          <cell r="A21" t="str">
            <v>Department Store</v>
          </cell>
          <cell r="B21">
            <v>38899</v>
          </cell>
          <cell r="C21">
            <v>39507</v>
          </cell>
          <cell r="D21">
            <v>7753.5758333333342</v>
          </cell>
          <cell r="E21">
            <v>387.89133486385236</v>
          </cell>
          <cell r="G21">
            <v>2026</v>
          </cell>
          <cell r="H21">
            <v>57</v>
          </cell>
          <cell r="I21">
            <v>2024</v>
          </cell>
          <cell r="T21">
            <v>0.65</v>
          </cell>
        </row>
        <row r="22">
          <cell r="A22" t="str">
            <v>Doctor</v>
          </cell>
          <cell r="B22">
            <v>38899</v>
          </cell>
          <cell r="C22">
            <v>39507</v>
          </cell>
          <cell r="D22">
            <v>9675.1183333333393</v>
          </cell>
          <cell r="E22">
            <v>484.02113372624302</v>
          </cell>
          <cell r="G22">
            <v>2027</v>
          </cell>
          <cell r="H22">
            <v>58</v>
          </cell>
          <cell r="I22">
            <v>2024</v>
          </cell>
        </row>
        <row r="23">
          <cell r="A23" t="str">
            <v>Dont Account For</v>
          </cell>
          <cell r="B23">
            <v>38899</v>
          </cell>
          <cell r="C23">
            <v>39507</v>
          </cell>
          <cell r="D23">
            <v>-455724.20660256525</v>
          </cell>
          <cell r="E23">
            <v>-22798.702770002237</v>
          </cell>
          <cell r="G23">
            <v>2028</v>
          </cell>
          <cell r="H23">
            <v>59</v>
          </cell>
          <cell r="I23">
            <v>2090</v>
          </cell>
        </row>
        <row r="24">
          <cell r="A24" t="str">
            <v>Eating Out</v>
          </cell>
          <cell r="B24">
            <v>38899</v>
          </cell>
          <cell r="C24">
            <v>39507</v>
          </cell>
          <cell r="D24">
            <v>12401.145833333343</v>
          </cell>
          <cell r="E24">
            <v>620.39723535727387</v>
          </cell>
          <cell r="G24">
            <v>2029</v>
          </cell>
          <cell r="H24">
            <v>60</v>
          </cell>
          <cell r="I24">
            <v>2090</v>
          </cell>
        </row>
        <row r="25">
          <cell r="A25" t="str">
            <v>Gifts</v>
          </cell>
          <cell r="B25">
            <v>38899</v>
          </cell>
          <cell r="C25">
            <v>39507</v>
          </cell>
          <cell r="D25">
            <v>3795.8383333333322</v>
          </cell>
          <cell r="E25">
            <v>189.89596925255842</v>
          </cell>
          <cell r="G25">
            <v>2030</v>
          </cell>
          <cell r="H25">
            <v>61</v>
          </cell>
          <cell r="I25">
            <v>2090</v>
          </cell>
        </row>
        <row r="26">
          <cell r="A26" t="str">
            <v>Groceries</v>
          </cell>
          <cell r="B26">
            <v>38899</v>
          </cell>
          <cell r="C26">
            <v>39507</v>
          </cell>
          <cell r="D26">
            <v>24511.03833333333</v>
          </cell>
          <cell r="E26">
            <v>1226.2238201297514</v>
          </cell>
          <cell r="G26">
            <v>2031</v>
          </cell>
          <cell r="H26">
            <v>62</v>
          </cell>
          <cell r="I26">
            <v>1980</v>
          </cell>
        </row>
        <row r="27">
          <cell r="A27" t="str">
            <v>Holiday</v>
          </cell>
          <cell r="B27">
            <v>38899</v>
          </cell>
          <cell r="C27">
            <v>39507</v>
          </cell>
          <cell r="D27">
            <v>7682.3541666666652</v>
          </cell>
          <cell r="E27">
            <v>384.32829918220023</v>
          </cell>
          <cell r="G27">
            <v>2032</v>
          </cell>
          <cell r="H27">
            <v>63</v>
          </cell>
          <cell r="I27">
            <v>1980</v>
          </cell>
        </row>
        <row r="28">
          <cell r="A28" t="str">
            <v>Household Items</v>
          </cell>
          <cell r="B28">
            <v>38899</v>
          </cell>
          <cell r="C28">
            <v>39507</v>
          </cell>
          <cell r="D28">
            <v>2522.2775000000001</v>
          </cell>
          <cell r="E28">
            <v>126.18301637883773</v>
          </cell>
          <cell r="G28">
            <v>2033</v>
          </cell>
          <cell r="H28">
            <v>64</v>
          </cell>
          <cell r="I28">
            <v>1980</v>
          </cell>
        </row>
        <row r="29">
          <cell r="A29" t="str">
            <v>Medicare Refund</v>
          </cell>
          <cell r="B29">
            <v>38899</v>
          </cell>
          <cell r="C29">
            <v>39507</v>
          </cell>
          <cell r="D29">
            <v>-1129.1500000000001</v>
          </cell>
          <cell r="E29">
            <v>-56.488452576754391</v>
          </cell>
        </row>
        <row r="30">
          <cell r="A30" t="str">
            <v>Minerva Agent</v>
          </cell>
          <cell r="B30">
            <v>38899</v>
          </cell>
          <cell r="C30">
            <v>39507</v>
          </cell>
          <cell r="D30">
            <v>6977.743333333332</v>
          </cell>
          <cell r="E30">
            <v>349.07844252558476</v>
          </cell>
        </row>
        <row r="31">
          <cell r="A31" t="str">
            <v>Minerva Maintenance</v>
          </cell>
          <cell r="B31">
            <v>38899</v>
          </cell>
          <cell r="C31">
            <v>39507</v>
          </cell>
          <cell r="D31">
            <v>2029.9941666666666</v>
          </cell>
          <cell r="E31">
            <v>101.55535510325292</v>
          </cell>
        </row>
        <row r="32">
          <cell r="A32" t="str">
            <v>Minerva Rent</v>
          </cell>
          <cell r="B32">
            <v>38899</v>
          </cell>
          <cell r="C32">
            <v>39507</v>
          </cell>
          <cell r="D32">
            <v>-63467.450000000019</v>
          </cell>
          <cell r="E32">
            <v>-3175.1122875548258</v>
          </cell>
        </row>
        <row r="33">
          <cell r="A33" t="str">
            <v>Minerva WaterSewage</v>
          </cell>
          <cell r="B33">
            <v>38899</v>
          </cell>
          <cell r="C33">
            <v>39507</v>
          </cell>
          <cell r="D33">
            <v>947.03750000000014</v>
          </cell>
          <cell r="E33">
            <v>47.377835457785096</v>
          </cell>
        </row>
        <row r="34">
          <cell r="A34" t="str">
            <v>Music</v>
          </cell>
          <cell r="B34">
            <v>38899</v>
          </cell>
          <cell r="C34">
            <v>39507</v>
          </cell>
          <cell r="D34">
            <v>36.683333333333337</v>
          </cell>
          <cell r="E34">
            <v>1.8351722404970763</v>
          </cell>
        </row>
        <row r="35">
          <cell r="A35" t="str">
            <v>Optus Home Phone</v>
          </cell>
          <cell r="B35">
            <v>38899</v>
          </cell>
          <cell r="C35">
            <v>39507</v>
          </cell>
          <cell r="D35">
            <v>2391.5758333333333</v>
          </cell>
          <cell r="E35">
            <v>119.64435021472953</v>
          </cell>
        </row>
        <row r="36">
          <cell r="A36" t="str">
            <v>Optus Mobile</v>
          </cell>
          <cell r="B36">
            <v>38899</v>
          </cell>
          <cell r="C36">
            <v>39507</v>
          </cell>
          <cell r="D36">
            <v>3084.8591666666666</v>
          </cell>
          <cell r="E36">
            <v>154.32752135873537</v>
          </cell>
        </row>
        <row r="37">
          <cell r="A37" t="str">
            <v>Petrol</v>
          </cell>
          <cell r="B37">
            <v>38899</v>
          </cell>
          <cell r="C37">
            <v>39507</v>
          </cell>
          <cell r="D37">
            <v>3670.6233333333339</v>
          </cell>
          <cell r="E37">
            <v>183.63178682383045</v>
          </cell>
        </row>
        <row r="38">
          <cell r="A38" t="str">
            <v>Pump Supplies</v>
          </cell>
          <cell r="B38">
            <v>38899</v>
          </cell>
          <cell r="C38">
            <v>39507</v>
          </cell>
          <cell r="D38">
            <v>150.625</v>
          </cell>
          <cell r="E38">
            <v>7.5353789747807021</v>
          </cell>
        </row>
        <row r="39">
          <cell r="A39" t="str">
            <v>Regular Cost</v>
          </cell>
          <cell r="B39">
            <v>38899</v>
          </cell>
          <cell r="C39">
            <v>39507</v>
          </cell>
          <cell r="D39">
            <v>215997.63499999972</v>
          </cell>
          <cell r="E39">
            <v>10805.802737801521</v>
          </cell>
        </row>
        <row r="40">
          <cell r="A40" t="str">
            <v>School Books</v>
          </cell>
          <cell r="B40">
            <v>38899</v>
          </cell>
          <cell r="C40">
            <v>39507</v>
          </cell>
          <cell r="D40">
            <v>890.2650000000001</v>
          </cell>
          <cell r="E40">
            <v>44.537654194078954</v>
          </cell>
        </row>
        <row r="41">
          <cell r="A41" t="str">
            <v>Stationary</v>
          </cell>
          <cell r="B41">
            <v>38899</v>
          </cell>
          <cell r="C41">
            <v>39507</v>
          </cell>
          <cell r="D41">
            <v>1179.375</v>
          </cell>
          <cell r="E41">
            <v>59.00107935855263</v>
          </cell>
        </row>
        <row r="42">
          <cell r="A42" t="str">
            <v>Tutoring</v>
          </cell>
          <cell r="B42">
            <v>38899</v>
          </cell>
          <cell r="C42">
            <v>39507</v>
          </cell>
          <cell r="D42">
            <v>80</v>
          </cell>
          <cell r="E42">
            <v>4.0021929824561404</v>
          </cell>
        </row>
        <row r="43">
          <cell r="A43" t="str">
            <v>Uniforms</v>
          </cell>
          <cell r="B43">
            <v>38899</v>
          </cell>
          <cell r="C43">
            <v>39507</v>
          </cell>
          <cell r="D43">
            <v>1159.9683333333335</v>
          </cell>
          <cell r="E43">
            <v>58.030214044225154</v>
          </cell>
        </row>
        <row r="44">
          <cell r="A44" t="str">
            <v>Unknown</v>
          </cell>
          <cell r="B44">
            <v>38899</v>
          </cell>
          <cell r="C44">
            <v>39507</v>
          </cell>
          <cell r="D44">
            <v>37492.372500000005</v>
          </cell>
          <cell r="E44">
            <v>1875.6463764391451</v>
          </cell>
        </row>
        <row r="45">
          <cell r="A45" t="str">
            <v>Freshtel VOIP</v>
          </cell>
          <cell r="B45">
            <v>38899</v>
          </cell>
          <cell r="C45">
            <v>39507</v>
          </cell>
          <cell r="D45">
            <v>0</v>
          </cell>
          <cell r="E45">
            <v>0</v>
          </cell>
        </row>
        <row r="46">
          <cell r="A46" t="str">
            <v>Wool</v>
          </cell>
          <cell r="B46">
            <v>38899</v>
          </cell>
          <cell r="C46">
            <v>39507</v>
          </cell>
          <cell r="D46">
            <v>6034.8408333333327</v>
          </cell>
          <cell r="E46">
            <v>301.90747041758038</v>
          </cell>
        </row>
        <row r="47">
          <cell r="B47">
            <v>38899</v>
          </cell>
          <cell r="C47">
            <v>39507</v>
          </cell>
          <cell r="D47">
            <v>0</v>
          </cell>
          <cell r="E47">
            <v>0</v>
          </cell>
        </row>
        <row r="48">
          <cell r="B48">
            <v>38899</v>
          </cell>
          <cell r="C48">
            <v>39507</v>
          </cell>
          <cell r="D48">
            <v>0</v>
          </cell>
          <cell r="E48">
            <v>0</v>
          </cell>
        </row>
        <row r="49">
          <cell r="B49">
            <v>38899</v>
          </cell>
          <cell r="C49">
            <v>39507</v>
          </cell>
          <cell r="D49">
            <v>0</v>
          </cell>
          <cell r="E49">
            <v>0</v>
          </cell>
        </row>
        <row r="50">
          <cell r="B50">
            <v>38899</v>
          </cell>
          <cell r="C50">
            <v>39507</v>
          </cell>
          <cell r="D50">
            <v>0</v>
          </cell>
          <cell r="E50">
            <v>0</v>
          </cell>
        </row>
        <row r="51">
          <cell r="B51">
            <v>38899</v>
          </cell>
          <cell r="C51">
            <v>39507</v>
          </cell>
          <cell r="D51">
            <v>0</v>
          </cell>
          <cell r="E51">
            <v>0</v>
          </cell>
        </row>
      </sheetData>
      <sheetData sheetId="2">
        <row r="2">
          <cell r="L2" t="str">
            <v>Dont Account For</v>
          </cell>
          <cell r="M2">
            <v>9461.7749999999996</v>
          </cell>
        </row>
        <row r="3">
          <cell r="L3" t="str">
            <v>Dont Account For</v>
          </cell>
          <cell r="M3">
            <v>22970.737499999999</v>
          </cell>
        </row>
        <row r="4">
          <cell r="L4" t="str">
            <v>Dont Account For</v>
          </cell>
          <cell r="M4">
            <v>2263.6000000000004</v>
          </cell>
        </row>
        <row r="5">
          <cell r="L5" t="str">
            <v>Dont Account For</v>
          </cell>
          <cell r="M5">
            <v>942.91666666666674</v>
          </cell>
        </row>
        <row r="6">
          <cell r="L6" t="str">
            <v>Dont Account For</v>
          </cell>
          <cell r="M6">
            <v>167.8</v>
          </cell>
        </row>
        <row r="7">
          <cell r="L7" t="str">
            <v>Dont Account For</v>
          </cell>
          <cell r="M7">
            <v>2265.7249999999999</v>
          </cell>
        </row>
        <row r="8">
          <cell r="L8" t="str">
            <v>Dont Account For</v>
          </cell>
          <cell r="M8">
            <v>944.05</v>
          </cell>
        </row>
        <row r="9">
          <cell r="L9" t="str">
            <v>Dont Account For</v>
          </cell>
          <cell r="M9">
            <v>121.71666666666667</v>
          </cell>
        </row>
        <row r="10">
          <cell r="L10" t="str">
            <v>Dont Account For</v>
          </cell>
          <cell r="M10">
            <v>3.3333333333333333E-2</v>
          </cell>
        </row>
        <row r="11">
          <cell r="L11" t="str">
            <v>Dont Account For</v>
          </cell>
          <cell r="M11">
            <v>2349.9500000000003</v>
          </cell>
        </row>
        <row r="12">
          <cell r="L12" t="str">
            <v>Dont Account For</v>
          </cell>
          <cell r="M12">
            <v>978.86666666666679</v>
          </cell>
        </row>
        <row r="13">
          <cell r="L13" t="str">
            <v>Dont Account For</v>
          </cell>
          <cell r="M13">
            <v>-121.33749999999999</v>
          </cell>
        </row>
        <row r="14">
          <cell r="L14" t="str">
            <v>Dont Account For</v>
          </cell>
          <cell r="M14">
            <v>2375.3708333333334</v>
          </cell>
        </row>
        <row r="15">
          <cell r="L15" t="str">
            <v>Dont Account For</v>
          </cell>
          <cell r="M15">
            <v>989.74166666666679</v>
          </cell>
        </row>
        <row r="16">
          <cell r="L16" t="str">
            <v>Dont Account For</v>
          </cell>
          <cell r="M16">
            <v>3721.3000000000006</v>
          </cell>
        </row>
        <row r="17">
          <cell r="L17" t="str">
            <v>Dont Account For</v>
          </cell>
          <cell r="M17">
            <v>2495.2458333333334</v>
          </cell>
        </row>
        <row r="18">
          <cell r="L18" t="str">
            <v>Dont Account For</v>
          </cell>
          <cell r="M18">
            <v>1039.4166666666667</v>
          </cell>
        </row>
        <row r="19">
          <cell r="L19" t="str">
            <v>Dont Account For</v>
          </cell>
          <cell r="M19">
            <v>529.76666666666677</v>
          </cell>
        </row>
        <row r="20">
          <cell r="L20" t="str">
            <v>Dont Account For</v>
          </cell>
          <cell r="M20">
            <v>2634.5</v>
          </cell>
        </row>
        <row r="21">
          <cell r="L21" t="str">
            <v>Dont Account For</v>
          </cell>
          <cell r="M21">
            <v>1097.7</v>
          </cell>
        </row>
        <row r="22">
          <cell r="L22" t="str">
            <v>Dont Account For</v>
          </cell>
          <cell r="M22">
            <v>764.55000000000007</v>
          </cell>
        </row>
        <row r="23">
          <cell r="L23" t="str">
            <v>Regular Cost</v>
          </cell>
          <cell r="M23">
            <v>1816.06</v>
          </cell>
        </row>
        <row r="24">
          <cell r="L24" t="str">
            <v>Regular Cost</v>
          </cell>
          <cell r="M24">
            <v>6625.14</v>
          </cell>
        </row>
        <row r="25">
          <cell r="L25" t="str">
            <v>Regular Cost</v>
          </cell>
          <cell r="M25">
            <v>-1816.06</v>
          </cell>
        </row>
        <row r="26">
          <cell r="L26" t="str">
            <v>Dont Account For</v>
          </cell>
          <cell r="M26">
            <v>0</v>
          </cell>
        </row>
        <row r="27">
          <cell r="L27" t="str">
            <v>Dont Account For</v>
          </cell>
          <cell r="M27">
            <v>1135.2458333333334</v>
          </cell>
        </row>
        <row r="28">
          <cell r="L28" t="str">
            <v>Dont Account For</v>
          </cell>
          <cell r="M28">
            <v>318.18333333333334</v>
          </cell>
        </row>
        <row r="29">
          <cell r="L29" t="str">
            <v>Regular Cost</v>
          </cell>
          <cell r="M29">
            <v>1757.47</v>
          </cell>
        </row>
        <row r="30">
          <cell r="L30" t="str">
            <v>Regular Cost</v>
          </cell>
          <cell r="M30">
            <v>33.72</v>
          </cell>
        </row>
        <row r="31">
          <cell r="L31" t="str">
            <v>Regular Cost</v>
          </cell>
          <cell r="M31">
            <v>-1730.09</v>
          </cell>
        </row>
        <row r="32">
          <cell r="L32" t="str">
            <v>Regular Cost</v>
          </cell>
          <cell r="M32">
            <v>-831.83</v>
          </cell>
        </row>
        <row r="33">
          <cell r="L33" t="str">
            <v>Dont Account For</v>
          </cell>
          <cell r="M33">
            <v>0</v>
          </cell>
        </row>
        <row r="34">
          <cell r="L34" t="str">
            <v>Dont Account For</v>
          </cell>
          <cell r="M34">
            <v>1153.2750000000001</v>
          </cell>
        </row>
        <row r="35">
          <cell r="L35" t="str">
            <v>Dont Account For</v>
          </cell>
          <cell r="M35">
            <v>300.1541666666667</v>
          </cell>
        </row>
        <row r="36">
          <cell r="L36" t="str">
            <v>Regular Cost</v>
          </cell>
          <cell r="M36">
            <v>1788.68</v>
          </cell>
        </row>
        <row r="37">
          <cell r="L37" t="str">
            <v>Regular Cost</v>
          </cell>
          <cell r="M37">
            <v>171.09</v>
          </cell>
        </row>
        <row r="38">
          <cell r="L38" t="str">
            <v>Regular Cost</v>
          </cell>
          <cell r="M38">
            <v>-1845.79</v>
          </cell>
        </row>
        <row r="39">
          <cell r="L39" t="str">
            <v>Regular Cost</v>
          </cell>
          <cell r="M39">
            <v>29.73</v>
          </cell>
        </row>
        <row r="40">
          <cell r="L40" t="str">
            <v>Regular Cost</v>
          </cell>
          <cell r="M40">
            <v>141.36000000000001</v>
          </cell>
        </row>
        <row r="41">
          <cell r="L41" t="str">
            <v>Regular Cost</v>
          </cell>
          <cell r="M41">
            <v>-171.09</v>
          </cell>
        </row>
        <row r="42">
          <cell r="L42" t="str">
            <v>Regular Cost</v>
          </cell>
          <cell r="M42">
            <v>870.74</v>
          </cell>
        </row>
        <row r="43">
          <cell r="L43" t="str">
            <v>Regular Cost</v>
          </cell>
          <cell r="M43">
            <v>-873.29</v>
          </cell>
        </row>
        <row r="44">
          <cell r="L44" t="str">
            <v>Dont Account For</v>
          </cell>
          <cell r="M44">
            <v>0</v>
          </cell>
        </row>
        <row r="45">
          <cell r="L45" t="str">
            <v>Dont Account For</v>
          </cell>
          <cell r="M45">
            <v>1152.0000000000002</v>
          </cell>
        </row>
        <row r="46">
          <cell r="L46" t="str">
            <v>Dont Account For</v>
          </cell>
          <cell r="M46">
            <v>301.42916666666667</v>
          </cell>
        </row>
        <row r="47">
          <cell r="L47" t="str">
            <v>Dont Account For</v>
          </cell>
          <cell r="M47">
            <v>3075.1875</v>
          </cell>
        </row>
        <row r="48">
          <cell r="L48" t="str">
            <v>Dont Account For</v>
          </cell>
          <cell r="M48">
            <v>1116.5333333333333</v>
          </cell>
        </row>
        <row r="49">
          <cell r="L49" t="str">
            <v>Dont Account For</v>
          </cell>
          <cell r="M49">
            <v>0</v>
          </cell>
        </row>
        <row r="50">
          <cell r="L50" t="str">
            <v>Dont Account For</v>
          </cell>
          <cell r="M50">
            <v>3950.4458333333332</v>
          </cell>
        </row>
        <row r="51">
          <cell r="L51" t="str">
            <v>Dont Account For</v>
          </cell>
          <cell r="M51">
            <v>520.10833333333335</v>
          </cell>
        </row>
        <row r="52">
          <cell r="L52" t="str">
            <v>Dont Account For</v>
          </cell>
          <cell r="M52">
            <v>8333.3333333333339</v>
          </cell>
        </row>
        <row r="53">
          <cell r="L53" t="str">
            <v>Dont Account For</v>
          </cell>
          <cell r="M53">
            <v>1666.6666666666667</v>
          </cell>
        </row>
        <row r="54">
          <cell r="L54" t="str">
            <v>Dont Account For</v>
          </cell>
          <cell r="M54">
            <v>708.33333333333337</v>
          </cell>
        </row>
        <row r="55">
          <cell r="L55" t="str">
            <v>Dont Account For</v>
          </cell>
          <cell r="M55">
            <v>83.333333333333343</v>
          </cell>
        </row>
        <row r="56">
          <cell r="L56" t="str">
            <v>Dont Account For</v>
          </cell>
          <cell r="M56">
            <v>0</v>
          </cell>
        </row>
        <row r="57">
          <cell r="L57" t="str">
            <v>Wool</v>
          </cell>
          <cell r="M57">
            <v>-237.67083333333332</v>
          </cell>
        </row>
        <row r="58">
          <cell r="L58" t="str">
            <v>Dont Account For</v>
          </cell>
          <cell r="M58">
            <v>-31.25</v>
          </cell>
        </row>
        <row r="59">
          <cell r="L59" t="str">
            <v>Dont Account For</v>
          </cell>
          <cell r="M59">
            <v>-65.1875</v>
          </cell>
        </row>
        <row r="60">
          <cell r="L60" t="str">
            <v>Regular Cost</v>
          </cell>
          <cell r="M60">
            <v>-58.05</v>
          </cell>
        </row>
        <row r="61">
          <cell r="L61" t="str">
            <v>Minerva Rent</v>
          </cell>
          <cell r="M61">
            <v>0</v>
          </cell>
        </row>
        <row r="62">
          <cell r="L62" t="str">
            <v>Minerva Rent</v>
          </cell>
          <cell r="M62">
            <v>4769.59</v>
          </cell>
        </row>
        <row r="63">
          <cell r="L63" t="str">
            <v>Minerva Agent</v>
          </cell>
          <cell r="M63">
            <v>-365.06</v>
          </cell>
        </row>
        <row r="64">
          <cell r="L64" t="str">
            <v>Minerva Agent</v>
          </cell>
          <cell r="M64">
            <v>-36.5</v>
          </cell>
        </row>
        <row r="65">
          <cell r="L65" t="str">
            <v>Minerva Maintenance</v>
          </cell>
          <cell r="M65">
            <v>-88.24</v>
          </cell>
        </row>
        <row r="66">
          <cell r="L66" t="str">
            <v>Minerva Maintenance</v>
          </cell>
          <cell r="M66">
            <v>-8.82</v>
          </cell>
        </row>
        <row r="67">
          <cell r="L67" t="str">
            <v>Minerva Maintenance</v>
          </cell>
          <cell r="M67">
            <v>-280.74</v>
          </cell>
        </row>
        <row r="68">
          <cell r="L68" t="str">
            <v>Minerva Maintenance</v>
          </cell>
          <cell r="M68">
            <v>-13.38</v>
          </cell>
        </row>
        <row r="69">
          <cell r="L69" t="str">
            <v>Dont Account For</v>
          </cell>
          <cell r="M69">
            <v>-190</v>
          </cell>
        </row>
        <row r="70">
          <cell r="L70" t="str">
            <v>Bank Charges</v>
          </cell>
          <cell r="M70">
            <v>-5</v>
          </cell>
        </row>
        <row r="71">
          <cell r="L71" t="str">
            <v>Bank Charges</v>
          </cell>
          <cell r="M71">
            <v>-4</v>
          </cell>
        </row>
        <row r="72">
          <cell r="L72" t="str">
            <v>Regular Cost</v>
          </cell>
          <cell r="M72">
            <v>-102.96</v>
          </cell>
        </row>
        <row r="73">
          <cell r="L73" t="str">
            <v>Regular Cost</v>
          </cell>
          <cell r="M73">
            <v>-57.02</v>
          </cell>
        </row>
        <row r="74">
          <cell r="L74" t="str">
            <v>Dont Account For</v>
          </cell>
          <cell r="M74">
            <v>3.0769230769230767E-2</v>
          </cell>
        </row>
        <row r="75">
          <cell r="L75" t="str">
            <v>Dont Account For</v>
          </cell>
          <cell r="M75">
            <v>190</v>
          </cell>
        </row>
        <row r="76">
          <cell r="L76" t="str">
            <v>Department Store</v>
          </cell>
          <cell r="M76">
            <v>0</v>
          </cell>
        </row>
        <row r="77">
          <cell r="L77" t="str">
            <v>Department Store</v>
          </cell>
          <cell r="M77">
            <v>-34.166666666666671</v>
          </cell>
        </row>
        <row r="78">
          <cell r="L78" t="str">
            <v>Department Store</v>
          </cell>
          <cell r="M78">
            <v>-67.279166666666669</v>
          </cell>
        </row>
        <row r="79">
          <cell r="L79" t="str">
            <v>Groceries</v>
          </cell>
          <cell r="M79">
            <v>-124.60416666666667</v>
          </cell>
        </row>
        <row r="80">
          <cell r="L80" t="str">
            <v>Unknown</v>
          </cell>
          <cell r="M80">
            <v>-36.625000000000007</v>
          </cell>
        </row>
        <row r="81">
          <cell r="L81" t="str">
            <v>Dont Account For</v>
          </cell>
          <cell r="M81">
            <v>-80.708333333333329</v>
          </cell>
        </row>
        <row r="82">
          <cell r="L82" t="str">
            <v>Dont Account For</v>
          </cell>
          <cell r="M82">
            <v>187.47</v>
          </cell>
        </row>
        <row r="83">
          <cell r="L83" t="str">
            <v>Dont Account For</v>
          </cell>
          <cell r="M83">
            <v>-50</v>
          </cell>
        </row>
        <row r="84">
          <cell r="L84" t="str">
            <v>Computer Books</v>
          </cell>
          <cell r="M84">
            <v>-32.487500000000004</v>
          </cell>
        </row>
        <row r="85">
          <cell r="L85" t="str">
            <v>Computer Hardware</v>
          </cell>
          <cell r="M85">
            <v>-32.379166666666663</v>
          </cell>
        </row>
        <row r="86">
          <cell r="L86" t="str">
            <v>Groceries</v>
          </cell>
          <cell r="M86">
            <v>-91.295833333333348</v>
          </cell>
        </row>
        <row r="87">
          <cell r="L87" t="str">
            <v>Dont Account For</v>
          </cell>
          <cell r="M87">
            <v>50</v>
          </cell>
        </row>
        <row r="88">
          <cell r="L88" t="str">
            <v>Dont Account For</v>
          </cell>
          <cell r="M88">
            <v>-31.991666666666667</v>
          </cell>
        </row>
        <row r="89">
          <cell r="L89" t="str">
            <v>Minerva WaterSewage</v>
          </cell>
          <cell r="M89">
            <v>-88.987499999999997</v>
          </cell>
        </row>
        <row r="90">
          <cell r="L90" t="str">
            <v>Autumn WaterSewage</v>
          </cell>
          <cell r="M90">
            <v>-187.33333333333334</v>
          </cell>
        </row>
        <row r="91">
          <cell r="L91" t="str">
            <v>Optus Home Phone</v>
          </cell>
          <cell r="M91">
            <v>-133.19166666666669</v>
          </cell>
        </row>
        <row r="92">
          <cell r="L92" t="str">
            <v>Optus Mobile</v>
          </cell>
          <cell r="M92">
            <v>-203.17500000000001</v>
          </cell>
        </row>
        <row r="93">
          <cell r="L93" t="str">
            <v>Groceries</v>
          </cell>
          <cell r="M93">
            <v>-166.23750000000001</v>
          </cell>
        </row>
        <row r="94">
          <cell r="L94" t="str">
            <v>Car Fines</v>
          </cell>
          <cell r="M94">
            <v>-150.6</v>
          </cell>
        </row>
        <row r="95">
          <cell r="L95" t="str">
            <v>Dont Account For</v>
          </cell>
          <cell r="M95">
            <v>-17.34</v>
          </cell>
        </row>
        <row r="96">
          <cell r="L96" t="str">
            <v>Bank Charges</v>
          </cell>
          <cell r="M96">
            <v>-0.26</v>
          </cell>
        </row>
        <row r="97">
          <cell r="L97" t="str">
            <v>Dont Account For</v>
          </cell>
          <cell r="M97">
            <v>-60.416666666666671</v>
          </cell>
        </row>
        <row r="98">
          <cell r="L98" t="str">
            <v>Autumn Gas</v>
          </cell>
          <cell r="M98">
            <v>-238.93333333333337</v>
          </cell>
        </row>
        <row r="99">
          <cell r="L99" t="str">
            <v>Dont Account For</v>
          </cell>
          <cell r="M99">
            <v>166.66666666666669</v>
          </cell>
        </row>
        <row r="100">
          <cell r="L100" t="str">
            <v>Dont Account For</v>
          </cell>
          <cell r="M100">
            <v>41.666666666666671</v>
          </cell>
        </row>
        <row r="101">
          <cell r="L101" t="str">
            <v>Dont Account For</v>
          </cell>
          <cell r="M101">
            <v>41.666666666666671</v>
          </cell>
        </row>
        <row r="102">
          <cell r="L102" t="str">
            <v>Dont Account For</v>
          </cell>
          <cell r="M102">
            <v>41.666666666666671</v>
          </cell>
        </row>
        <row r="103">
          <cell r="L103" t="str">
            <v>Dont Account For</v>
          </cell>
          <cell r="M103">
            <v>-41.666666666666671</v>
          </cell>
        </row>
        <row r="104">
          <cell r="L104" t="str">
            <v>Bank Charges</v>
          </cell>
          <cell r="M104">
            <v>-166.66666666666669</v>
          </cell>
        </row>
        <row r="105">
          <cell r="L105" t="str">
            <v>Bank Charges</v>
          </cell>
          <cell r="M105">
            <v>-367.62083333333334</v>
          </cell>
        </row>
        <row r="106">
          <cell r="L106" t="str">
            <v>Dont Account For</v>
          </cell>
          <cell r="M106">
            <v>10.275</v>
          </cell>
        </row>
        <row r="107">
          <cell r="L107" t="str">
            <v>Dont Account For</v>
          </cell>
          <cell r="M107">
            <v>-29.512499999999999</v>
          </cell>
        </row>
        <row r="108">
          <cell r="L108" t="str">
            <v>Dont Account For</v>
          </cell>
          <cell r="M108">
            <v>-16.879166666666666</v>
          </cell>
        </row>
        <row r="109">
          <cell r="L109" t="str">
            <v>Computer Books</v>
          </cell>
          <cell r="M109">
            <v>-52.3125</v>
          </cell>
        </row>
        <row r="110">
          <cell r="L110" t="str">
            <v>Dont Account For</v>
          </cell>
          <cell r="M110">
            <v>-136.69583333333333</v>
          </cell>
        </row>
        <row r="111">
          <cell r="L111" t="str">
            <v>Computer Hardware</v>
          </cell>
          <cell r="M111">
            <v>-98.454166666666666</v>
          </cell>
        </row>
        <row r="112">
          <cell r="L112" t="str">
            <v>Unknown</v>
          </cell>
          <cell r="M112">
            <v>0</v>
          </cell>
        </row>
        <row r="113">
          <cell r="L113" t="str">
            <v>Unknown</v>
          </cell>
          <cell r="M113">
            <v>-163.73750000000001</v>
          </cell>
        </row>
        <row r="114">
          <cell r="L114" t="str">
            <v>Unknown</v>
          </cell>
          <cell r="M114">
            <v>-163.73750000000001</v>
          </cell>
        </row>
        <row r="115">
          <cell r="L115" t="str">
            <v>Unknown</v>
          </cell>
          <cell r="M115">
            <v>-163.73750000000001</v>
          </cell>
        </row>
        <row r="116">
          <cell r="L116" t="str">
            <v>Dont Account For</v>
          </cell>
          <cell r="M116">
            <v>83.333333333333343</v>
          </cell>
        </row>
        <row r="117">
          <cell r="L117" t="str">
            <v>Groceries</v>
          </cell>
          <cell r="M117">
            <v>-125.42916666666666</v>
          </cell>
        </row>
        <row r="118">
          <cell r="L118" t="str">
            <v>Regular Cost</v>
          </cell>
          <cell r="M118">
            <v>-6827.4</v>
          </cell>
        </row>
        <row r="119">
          <cell r="L119" t="str">
            <v>Chemist</v>
          </cell>
          <cell r="M119">
            <v>-35.208333333333336</v>
          </cell>
        </row>
        <row r="120">
          <cell r="L120" t="str">
            <v>Unknown</v>
          </cell>
          <cell r="M120">
            <v>-180</v>
          </cell>
        </row>
        <row r="121">
          <cell r="L121" t="str">
            <v>Groceries</v>
          </cell>
          <cell r="M121">
            <v>-17</v>
          </cell>
        </row>
        <row r="122">
          <cell r="L122" t="str">
            <v>Dont Account For</v>
          </cell>
          <cell r="M122">
            <v>-20.833333333333336</v>
          </cell>
        </row>
        <row r="123">
          <cell r="L123" t="str">
            <v>Dont Account For</v>
          </cell>
          <cell r="M123">
            <v>166.66666666666669</v>
          </cell>
        </row>
        <row r="124">
          <cell r="L124" t="str">
            <v>Department Store</v>
          </cell>
          <cell r="M124">
            <v>-92.283333333333331</v>
          </cell>
        </row>
        <row r="125">
          <cell r="L125" t="str">
            <v>Books, Videos, Magazines</v>
          </cell>
          <cell r="M125">
            <v>-41.125</v>
          </cell>
        </row>
        <row r="126">
          <cell r="L126" t="str">
            <v>Dont Account For</v>
          </cell>
          <cell r="M126">
            <v>-128.60416666666666</v>
          </cell>
        </row>
        <row r="127">
          <cell r="L127" t="str">
            <v>Dont Account For</v>
          </cell>
          <cell r="M127">
            <v>-20.833333333333336</v>
          </cell>
        </row>
        <row r="128">
          <cell r="L128" t="str">
            <v>Dont Account For</v>
          </cell>
          <cell r="M128">
            <v>-13.5</v>
          </cell>
        </row>
        <row r="129">
          <cell r="L129" t="str">
            <v>Dont Account For</v>
          </cell>
          <cell r="M129">
            <v>166.66666666666669</v>
          </cell>
        </row>
        <row r="130">
          <cell r="L130" t="str">
            <v>Dont Account For</v>
          </cell>
          <cell r="M130">
            <v>22.1</v>
          </cell>
        </row>
        <row r="131">
          <cell r="L131" t="str">
            <v>VOIP</v>
          </cell>
          <cell r="M131">
            <v>-11.641666666666667</v>
          </cell>
        </row>
        <row r="132">
          <cell r="L132" t="str">
            <v>Bank Charges</v>
          </cell>
          <cell r="M132">
            <v>-39.345833333333339</v>
          </cell>
        </row>
        <row r="133">
          <cell r="L133" t="str">
            <v>Doctor</v>
          </cell>
          <cell r="M133">
            <v>-66.24166666666666</v>
          </cell>
        </row>
        <row r="134">
          <cell r="L134" t="str">
            <v>Regular Cost</v>
          </cell>
          <cell r="M134">
            <v>-209.3</v>
          </cell>
        </row>
        <row r="135">
          <cell r="L135" t="str">
            <v>Regular Cost</v>
          </cell>
          <cell r="M135">
            <v>-116.92916666666667</v>
          </cell>
        </row>
        <row r="136">
          <cell r="L136" t="str">
            <v>Regular Cost</v>
          </cell>
          <cell r="M136">
            <v>-40</v>
          </cell>
        </row>
        <row r="137">
          <cell r="L137" t="str">
            <v>Dont Account For</v>
          </cell>
          <cell r="M137">
            <v>150</v>
          </cell>
        </row>
        <row r="138">
          <cell r="L138" t="str">
            <v>Dont Account For</v>
          </cell>
          <cell r="M138">
            <v>-50</v>
          </cell>
        </row>
        <row r="139">
          <cell r="L139" t="str">
            <v>Dont Account For</v>
          </cell>
          <cell r="M139">
            <v>12.72</v>
          </cell>
        </row>
        <row r="140">
          <cell r="L140" t="str">
            <v>Dont Account For</v>
          </cell>
          <cell r="M140">
            <v>50</v>
          </cell>
        </row>
        <row r="141">
          <cell r="L141" t="str">
            <v>Dont Account For</v>
          </cell>
          <cell r="M141">
            <v>-32.083333333333336</v>
          </cell>
        </row>
        <row r="142">
          <cell r="L142" t="str">
            <v>Dont Account For</v>
          </cell>
          <cell r="M142">
            <v>-22.5</v>
          </cell>
        </row>
        <row r="143">
          <cell r="L143" t="str">
            <v>Dont Account For</v>
          </cell>
          <cell r="M143">
            <v>-33.333333333333336</v>
          </cell>
        </row>
        <row r="144">
          <cell r="L144" t="str">
            <v>Dont Account For</v>
          </cell>
          <cell r="M144">
            <v>-27.333333333333332</v>
          </cell>
        </row>
        <row r="145">
          <cell r="L145" t="str">
            <v>Eating Out</v>
          </cell>
          <cell r="M145">
            <v>-19.420833333333334</v>
          </cell>
        </row>
        <row r="146">
          <cell r="L146" t="str">
            <v>Optus Mobile</v>
          </cell>
          <cell r="M146">
            <v>-133.55000000000001</v>
          </cell>
        </row>
        <row r="147">
          <cell r="L147" t="str">
            <v>Uniforms</v>
          </cell>
          <cell r="M147">
            <v>-70.983333333333348</v>
          </cell>
        </row>
        <row r="148">
          <cell r="L148" t="str">
            <v>Dont Account For</v>
          </cell>
          <cell r="M148">
            <v>-16.666666666666668</v>
          </cell>
        </row>
        <row r="149">
          <cell r="L149" t="str">
            <v>Dont Account For</v>
          </cell>
          <cell r="M149">
            <v>-6.25</v>
          </cell>
        </row>
        <row r="150">
          <cell r="L150" t="str">
            <v>Baby Sitting</v>
          </cell>
          <cell r="M150">
            <v>-40</v>
          </cell>
        </row>
        <row r="151">
          <cell r="L151" t="str">
            <v>Dont Account For</v>
          </cell>
          <cell r="M151">
            <v>-20.833333333333336</v>
          </cell>
        </row>
        <row r="152">
          <cell r="L152" t="str">
            <v>Dont Account For</v>
          </cell>
          <cell r="M152">
            <v>-625</v>
          </cell>
        </row>
        <row r="153">
          <cell r="L153" t="str">
            <v>Dont Account For</v>
          </cell>
          <cell r="M153">
            <v>625</v>
          </cell>
        </row>
        <row r="154">
          <cell r="L154" t="str">
            <v>Dont Account For</v>
          </cell>
          <cell r="M154">
            <v>-40</v>
          </cell>
        </row>
        <row r="155">
          <cell r="L155" t="str">
            <v>Dont Account For</v>
          </cell>
          <cell r="M155">
            <v>-40</v>
          </cell>
        </row>
        <row r="156">
          <cell r="L156" t="str">
            <v>Dont Account For</v>
          </cell>
          <cell r="M156">
            <v>40</v>
          </cell>
        </row>
        <row r="157">
          <cell r="L157" t="str">
            <v>Dont Account For</v>
          </cell>
          <cell r="M157">
            <v>-14.583333333333334</v>
          </cell>
        </row>
        <row r="158">
          <cell r="L158" t="str">
            <v>Dont Account For</v>
          </cell>
          <cell r="M158">
            <v>-12.5</v>
          </cell>
        </row>
        <row r="159">
          <cell r="L159" t="str">
            <v>Dont Account For</v>
          </cell>
          <cell r="M159">
            <v>-337.5</v>
          </cell>
        </row>
        <row r="160">
          <cell r="L160" t="str">
            <v>Dont Account For</v>
          </cell>
          <cell r="M160">
            <v>-54.25</v>
          </cell>
        </row>
        <row r="161">
          <cell r="L161" t="str">
            <v>Dont Account For</v>
          </cell>
          <cell r="M161">
            <v>-18</v>
          </cell>
        </row>
        <row r="162">
          <cell r="L162" t="str">
            <v>Dont Account For</v>
          </cell>
          <cell r="M162">
            <v>18</v>
          </cell>
        </row>
        <row r="163">
          <cell r="L163" t="str">
            <v>Dont Account For</v>
          </cell>
          <cell r="M163">
            <v>4166.666666666667</v>
          </cell>
        </row>
        <row r="164">
          <cell r="L164" t="str">
            <v>Dont Account For</v>
          </cell>
          <cell r="M164">
            <v>-83.333333333333343</v>
          </cell>
        </row>
        <row r="165">
          <cell r="L165" t="str">
            <v>Eating Out</v>
          </cell>
          <cell r="M165">
            <v>-56.545833333333341</v>
          </cell>
        </row>
        <row r="166">
          <cell r="L166" t="str">
            <v>Books, Videos, Magazines</v>
          </cell>
          <cell r="M166">
            <v>-47</v>
          </cell>
        </row>
        <row r="167">
          <cell r="L167" t="str">
            <v>Activities</v>
          </cell>
          <cell r="M167">
            <v>-77.745833333333337</v>
          </cell>
        </row>
        <row r="168">
          <cell r="L168" t="str">
            <v>Regular Cost</v>
          </cell>
          <cell r="M168">
            <v>-220.27916666666667</v>
          </cell>
        </row>
        <row r="169">
          <cell r="L169" t="str">
            <v>Cinema</v>
          </cell>
          <cell r="M169">
            <v>-15.899999999999999</v>
          </cell>
        </row>
        <row r="170">
          <cell r="L170" t="str">
            <v>Optus Home Phone</v>
          </cell>
          <cell r="M170">
            <v>-77.683333333333337</v>
          </cell>
        </row>
        <row r="171">
          <cell r="L171" t="str">
            <v>Dont Account For</v>
          </cell>
          <cell r="M171">
            <v>-16.666666666666668</v>
          </cell>
        </row>
        <row r="172">
          <cell r="L172" t="str">
            <v>Dont Account For</v>
          </cell>
          <cell r="M172">
            <v>-4.166666666666667</v>
          </cell>
        </row>
        <row r="173">
          <cell r="L173" t="str">
            <v>Eating Out</v>
          </cell>
          <cell r="M173">
            <v>-15</v>
          </cell>
        </row>
        <row r="174">
          <cell r="L174" t="str">
            <v>Dont Account For</v>
          </cell>
          <cell r="M174">
            <v>-36.041666666666671</v>
          </cell>
        </row>
        <row r="175">
          <cell r="L175" t="str">
            <v>Dont Account For</v>
          </cell>
          <cell r="M175">
            <v>-18.75</v>
          </cell>
        </row>
        <row r="176">
          <cell r="L176" t="str">
            <v>Dont Account For</v>
          </cell>
          <cell r="M176">
            <v>-47.116666666666667</v>
          </cell>
        </row>
        <row r="177">
          <cell r="L177" t="str">
            <v>Unknown</v>
          </cell>
          <cell r="M177">
            <v>-12.2</v>
          </cell>
        </row>
        <row r="178">
          <cell r="L178" t="str">
            <v>Dont Account For</v>
          </cell>
          <cell r="M178">
            <v>31.88</v>
          </cell>
        </row>
        <row r="179">
          <cell r="L179" t="str">
            <v>Groceries</v>
          </cell>
          <cell r="M179">
            <v>-40</v>
          </cell>
        </row>
        <row r="180">
          <cell r="L180" t="str">
            <v>Dont Account For</v>
          </cell>
          <cell r="M180">
            <v>-6.25</v>
          </cell>
        </row>
        <row r="181">
          <cell r="L181" t="str">
            <v>Dont Account For</v>
          </cell>
          <cell r="M181">
            <v>-4.166666666666667</v>
          </cell>
        </row>
        <row r="182">
          <cell r="L182" t="str">
            <v>Dont Account For</v>
          </cell>
          <cell r="M182">
            <v>-25</v>
          </cell>
        </row>
        <row r="183">
          <cell r="L183" t="str">
            <v>Cinema</v>
          </cell>
          <cell r="M183">
            <v>-55.662500000000001</v>
          </cell>
        </row>
        <row r="184">
          <cell r="L184" t="str">
            <v>Petrol</v>
          </cell>
          <cell r="M184">
            <v>-23.433333333333334</v>
          </cell>
        </row>
        <row r="185">
          <cell r="L185" t="str">
            <v>Wool</v>
          </cell>
          <cell r="M185">
            <v>-100.77916666666667</v>
          </cell>
        </row>
        <row r="186">
          <cell r="L186" t="str">
            <v>Groceries</v>
          </cell>
          <cell r="M186">
            <v>-156.11666666666667</v>
          </cell>
        </row>
        <row r="187">
          <cell r="L187" t="str">
            <v>Groceries</v>
          </cell>
          <cell r="M187">
            <v>-333.49583333333334</v>
          </cell>
        </row>
        <row r="188">
          <cell r="L188" t="str">
            <v>Dont Account For</v>
          </cell>
          <cell r="M188">
            <v>-607.67916666666667</v>
          </cell>
        </row>
        <row r="189">
          <cell r="L189" t="str">
            <v>Groceries</v>
          </cell>
          <cell r="M189">
            <v>-41.604166666666664</v>
          </cell>
        </row>
        <row r="190">
          <cell r="L190" t="str">
            <v>Dont Account For</v>
          </cell>
          <cell r="M190">
            <v>78.599999999999994</v>
          </cell>
        </row>
        <row r="191">
          <cell r="L191" t="str">
            <v>Dont Account For</v>
          </cell>
          <cell r="M191">
            <v>-75.583333333333343</v>
          </cell>
        </row>
        <row r="192">
          <cell r="L192" t="str">
            <v>Cinema</v>
          </cell>
          <cell r="M192">
            <v>-39.733333333333334</v>
          </cell>
        </row>
        <row r="193">
          <cell r="L193" t="str">
            <v>Doctor</v>
          </cell>
          <cell r="M193">
            <v>-75.2</v>
          </cell>
        </row>
        <row r="194">
          <cell r="L194" t="str">
            <v>Dont Account For</v>
          </cell>
          <cell r="M194">
            <v>-5023.7416666666668</v>
          </cell>
        </row>
        <row r="195">
          <cell r="L195" t="str">
            <v>Dont Account For</v>
          </cell>
          <cell r="M195">
            <v>833.33333333333337</v>
          </cell>
        </row>
        <row r="196">
          <cell r="L196" t="str">
            <v>Regular Cost</v>
          </cell>
          <cell r="M196">
            <v>-35</v>
          </cell>
        </row>
        <row r="197">
          <cell r="L197" t="str">
            <v>Groceries</v>
          </cell>
          <cell r="M197">
            <v>-25</v>
          </cell>
        </row>
        <row r="198">
          <cell r="L198" t="str">
            <v>Dont Account For</v>
          </cell>
          <cell r="M198">
            <v>-20.833333333333336</v>
          </cell>
        </row>
        <row r="199">
          <cell r="L199" t="str">
            <v>Dont Account For</v>
          </cell>
          <cell r="M199">
            <v>41.666666666666671</v>
          </cell>
        </row>
        <row r="200">
          <cell r="L200" t="str">
            <v>Dont Account For</v>
          </cell>
          <cell r="M200">
            <v>41.666666666666671</v>
          </cell>
        </row>
        <row r="201">
          <cell r="L201" t="str">
            <v>Dont Account For</v>
          </cell>
          <cell r="M201">
            <v>208.33333333333334</v>
          </cell>
        </row>
        <row r="202">
          <cell r="L202" t="str">
            <v>Doctor</v>
          </cell>
          <cell r="M202">
            <v>-141.10416666666666</v>
          </cell>
        </row>
        <row r="203">
          <cell r="L203" t="str">
            <v>Bank Charges</v>
          </cell>
          <cell r="M203">
            <v>-1.5</v>
          </cell>
        </row>
        <row r="204">
          <cell r="L204" t="str">
            <v>Books, Videos, Magazines</v>
          </cell>
          <cell r="M204">
            <v>-9.5</v>
          </cell>
        </row>
        <row r="205">
          <cell r="L205" t="str">
            <v>Dont Account For</v>
          </cell>
          <cell r="M205">
            <v>-100</v>
          </cell>
        </row>
        <row r="206">
          <cell r="L206" t="str">
            <v>Dont Account For</v>
          </cell>
          <cell r="M206">
            <v>100</v>
          </cell>
        </row>
        <row r="207">
          <cell r="L207" t="str">
            <v>Dont Account For</v>
          </cell>
          <cell r="M207">
            <v>-4.166666666666667</v>
          </cell>
        </row>
        <row r="208">
          <cell r="L208" t="str">
            <v>Dont Account For</v>
          </cell>
          <cell r="M208">
            <v>-64.2</v>
          </cell>
        </row>
        <row r="209">
          <cell r="L209" t="str">
            <v>Dont Account For</v>
          </cell>
          <cell r="M209">
            <v>-14.583333333333334</v>
          </cell>
        </row>
        <row r="210">
          <cell r="L210" t="str">
            <v>Dont Account For</v>
          </cell>
          <cell r="M210">
            <v>-16.666666666666668</v>
          </cell>
        </row>
        <row r="211">
          <cell r="L211" t="str">
            <v>Dont Account For</v>
          </cell>
          <cell r="M211">
            <v>-125</v>
          </cell>
        </row>
        <row r="212">
          <cell r="L212" t="str">
            <v>Petrol</v>
          </cell>
          <cell r="M212">
            <v>-25.416666666666668</v>
          </cell>
        </row>
        <row r="213">
          <cell r="L213" t="str">
            <v>Bank Charges</v>
          </cell>
          <cell r="M213">
            <v>-2.0833333333333335</v>
          </cell>
        </row>
        <row r="214">
          <cell r="L214" t="str">
            <v>Dont Account For</v>
          </cell>
          <cell r="M214">
            <v>-16.666666666666668</v>
          </cell>
        </row>
        <row r="215">
          <cell r="L215" t="str">
            <v>Unknown</v>
          </cell>
          <cell r="M215">
            <v>0</v>
          </cell>
        </row>
        <row r="216">
          <cell r="L216" t="str">
            <v>Unknown</v>
          </cell>
          <cell r="M216">
            <v>-479.16666666666669</v>
          </cell>
        </row>
        <row r="217">
          <cell r="L217" t="str">
            <v>Unknown</v>
          </cell>
          <cell r="M217">
            <v>-145.83333333333334</v>
          </cell>
        </row>
        <row r="218">
          <cell r="L218" t="str">
            <v>Unknown</v>
          </cell>
          <cell r="M218">
            <v>-66.666666666666671</v>
          </cell>
        </row>
        <row r="219">
          <cell r="L219" t="str">
            <v>Unknown</v>
          </cell>
          <cell r="M219">
            <v>-100</v>
          </cell>
        </row>
        <row r="220">
          <cell r="L220" t="str">
            <v>Dont Account For</v>
          </cell>
          <cell r="M220">
            <v>-15</v>
          </cell>
        </row>
        <row r="221">
          <cell r="L221" t="str">
            <v>Dont Account For</v>
          </cell>
          <cell r="M221">
            <v>-15</v>
          </cell>
        </row>
        <row r="222">
          <cell r="L222" t="str">
            <v>Dont Account For</v>
          </cell>
          <cell r="M222">
            <v>10</v>
          </cell>
        </row>
        <row r="223">
          <cell r="L223" t="str">
            <v>Dont Account For</v>
          </cell>
          <cell r="M223">
            <v>50</v>
          </cell>
        </row>
        <row r="224">
          <cell r="L224" t="str">
            <v>Dont Account For</v>
          </cell>
          <cell r="M224">
            <v>270</v>
          </cell>
        </row>
        <row r="225">
          <cell r="L225" t="str">
            <v>Chemist</v>
          </cell>
          <cell r="M225">
            <v>-45.083333333333336</v>
          </cell>
        </row>
        <row r="226">
          <cell r="L226" t="str">
            <v>Gifts</v>
          </cell>
          <cell r="M226">
            <v>-20</v>
          </cell>
        </row>
        <row r="227">
          <cell r="L227" t="str">
            <v>Eating Out</v>
          </cell>
          <cell r="M227">
            <v>-10</v>
          </cell>
        </row>
        <row r="228">
          <cell r="L228" t="str">
            <v>Eating Out</v>
          </cell>
          <cell r="M228">
            <v>-10</v>
          </cell>
        </row>
        <row r="229">
          <cell r="L229" t="str">
            <v>Eating Out</v>
          </cell>
          <cell r="M229">
            <v>-50</v>
          </cell>
        </row>
        <row r="230">
          <cell r="L230" t="str">
            <v>Baby Sitting</v>
          </cell>
          <cell r="M230">
            <v>-50</v>
          </cell>
        </row>
        <row r="231">
          <cell r="L231" t="str">
            <v>Petrol</v>
          </cell>
          <cell r="M231">
            <v>-8.9499999999999993</v>
          </cell>
        </row>
        <row r="232">
          <cell r="L232" t="str">
            <v>Activities</v>
          </cell>
          <cell r="M232">
            <v>-11.8</v>
          </cell>
        </row>
        <row r="233">
          <cell r="L233" t="str">
            <v>Activities</v>
          </cell>
          <cell r="M233">
            <v>-25.958333333333332</v>
          </cell>
        </row>
        <row r="234">
          <cell r="L234" t="str">
            <v>Activities</v>
          </cell>
          <cell r="M234">
            <v>-29.5</v>
          </cell>
        </row>
        <row r="235">
          <cell r="L235" t="str">
            <v>Pump Supplies</v>
          </cell>
          <cell r="M235">
            <v>-19.466666666666669</v>
          </cell>
        </row>
        <row r="236">
          <cell r="L236" t="str">
            <v>Wool</v>
          </cell>
          <cell r="M236">
            <v>-45.958333333333336</v>
          </cell>
        </row>
        <row r="237">
          <cell r="L237" t="str">
            <v>Dont Account For</v>
          </cell>
          <cell r="M237">
            <v>12500</v>
          </cell>
        </row>
        <row r="238">
          <cell r="L238" t="str">
            <v>Dont Account For</v>
          </cell>
          <cell r="M238">
            <v>5000</v>
          </cell>
        </row>
        <row r="239">
          <cell r="L239" t="str">
            <v>Holiday</v>
          </cell>
          <cell r="M239">
            <v>-36.875</v>
          </cell>
        </row>
        <row r="240">
          <cell r="L240" t="str">
            <v>Gifts</v>
          </cell>
          <cell r="M240">
            <v>-10</v>
          </cell>
        </row>
        <row r="241">
          <cell r="L241" t="str">
            <v>Eating Out</v>
          </cell>
          <cell r="M241">
            <v>-5</v>
          </cell>
        </row>
        <row r="242">
          <cell r="L242" t="str">
            <v>Department Store</v>
          </cell>
          <cell r="M242">
            <v>-740</v>
          </cell>
        </row>
        <row r="243">
          <cell r="L243" t="str">
            <v>Chemist</v>
          </cell>
          <cell r="M243">
            <v>-32.13333333333334</v>
          </cell>
        </row>
        <row r="244">
          <cell r="L244" t="str">
            <v>Eating Out</v>
          </cell>
          <cell r="M244">
            <v>-37.120833333333337</v>
          </cell>
        </row>
        <row r="245">
          <cell r="L245" t="str">
            <v>Eating Out</v>
          </cell>
          <cell r="M245">
            <v>-47.120833333333337</v>
          </cell>
        </row>
        <row r="246">
          <cell r="L246" t="str">
            <v>Department Store</v>
          </cell>
          <cell r="M246">
            <v>0</v>
          </cell>
        </row>
        <row r="247">
          <cell r="L247" t="str">
            <v>Department Store</v>
          </cell>
          <cell r="M247">
            <v>-34.595833333333339</v>
          </cell>
        </row>
        <row r="248">
          <cell r="L248" t="str">
            <v>Department Store</v>
          </cell>
          <cell r="M248">
            <v>-12.758333333333335</v>
          </cell>
        </row>
        <row r="249">
          <cell r="L249" t="str">
            <v>Department Store</v>
          </cell>
          <cell r="M249">
            <v>-18.941666666666666</v>
          </cell>
        </row>
        <row r="250">
          <cell r="L250" t="str">
            <v>Department Store</v>
          </cell>
          <cell r="M250">
            <v>-43.787500000000001</v>
          </cell>
        </row>
        <row r="251">
          <cell r="L251" t="str">
            <v>Department Store</v>
          </cell>
          <cell r="M251">
            <v>-78.087500000000006</v>
          </cell>
        </row>
        <row r="252">
          <cell r="L252" t="str">
            <v>Regular Cost</v>
          </cell>
          <cell r="M252">
            <v>-300</v>
          </cell>
        </row>
        <row r="253">
          <cell r="L253" t="str">
            <v>Groceries</v>
          </cell>
          <cell r="M253">
            <v>-10</v>
          </cell>
        </row>
        <row r="254">
          <cell r="L254" t="str">
            <v>Dont Account For</v>
          </cell>
          <cell r="M254">
            <v>-23</v>
          </cell>
        </row>
        <row r="255">
          <cell r="L255" t="str">
            <v>Dont Account For</v>
          </cell>
          <cell r="M255">
            <v>35</v>
          </cell>
        </row>
        <row r="256">
          <cell r="L256" t="str">
            <v>Unknown</v>
          </cell>
          <cell r="M256">
            <v>-15</v>
          </cell>
        </row>
        <row r="257">
          <cell r="L257" t="str">
            <v>Dont Account For</v>
          </cell>
          <cell r="M257">
            <v>-5</v>
          </cell>
        </row>
        <row r="258">
          <cell r="L258" t="str">
            <v>Groceries</v>
          </cell>
          <cell r="M258">
            <v>-10</v>
          </cell>
        </row>
        <row r="259">
          <cell r="L259" t="str">
            <v>Books, Videos, Magazines</v>
          </cell>
          <cell r="M259">
            <v>-10</v>
          </cell>
        </row>
        <row r="260">
          <cell r="L260" t="str">
            <v>Eating Out</v>
          </cell>
          <cell r="M260">
            <v>-100</v>
          </cell>
        </row>
        <row r="261">
          <cell r="L261" t="str">
            <v>Baby Sitting</v>
          </cell>
          <cell r="M261">
            <v>-50</v>
          </cell>
        </row>
        <row r="262">
          <cell r="L262" t="str">
            <v>VOIP</v>
          </cell>
          <cell r="M262">
            <v>-7.0375000000000005</v>
          </cell>
        </row>
        <row r="263">
          <cell r="L263" t="str">
            <v>Dont Account For</v>
          </cell>
          <cell r="M263">
            <v>-2417.8583333333331</v>
          </cell>
        </row>
        <row r="264">
          <cell r="L264" t="str">
            <v>Dont Account For</v>
          </cell>
          <cell r="M264">
            <v>-35.220833333333339</v>
          </cell>
        </row>
        <row r="265">
          <cell r="L265" t="str">
            <v>Wool</v>
          </cell>
          <cell r="M265">
            <v>-26.045833333333334</v>
          </cell>
        </row>
        <row r="266">
          <cell r="L266" t="str">
            <v>Doctor</v>
          </cell>
          <cell r="M266">
            <v>-65.400000000000006</v>
          </cell>
        </row>
        <row r="267">
          <cell r="L267" t="str">
            <v>Doctor</v>
          </cell>
          <cell r="M267">
            <v>-147.15416666666667</v>
          </cell>
        </row>
        <row r="268">
          <cell r="L268" t="str">
            <v>Petrol</v>
          </cell>
          <cell r="M268">
            <v>-83.237500000000011</v>
          </cell>
        </row>
        <row r="269">
          <cell r="L269" t="str">
            <v>Department Store</v>
          </cell>
          <cell r="M269">
            <v>-36.804166666666667</v>
          </cell>
        </row>
        <row r="270">
          <cell r="L270" t="str">
            <v>Department Store</v>
          </cell>
          <cell r="M270">
            <v>-43.987499999999997</v>
          </cell>
        </row>
        <row r="271">
          <cell r="L271" t="str">
            <v>Department Store</v>
          </cell>
          <cell r="M271">
            <v>-43.987499999999997</v>
          </cell>
        </row>
        <row r="272">
          <cell r="L272" t="str">
            <v>Dont Account For</v>
          </cell>
          <cell r="M272">
            <v>-23.725000000000001</v>
          </cell>
        </row>
        <row r="273">
          <cell r="L273" t="str">
            <v>Regular Cost</v>
          </cell>
          <cell r="M273">
            <v>-29.729166666666664</v>
          </cell>
        </row>
        <row r="274">
          <cell r="L274" t="str">
            <v>Doctor</v>
          </cell>
          <cell r="M274">
            <v>-142.70000000000002</v>
          </cell>
        </row>
        <row r="275">
          <cell r="L275" t="str">
            <v>Dont Account For</v>
          </cell>
          <cell r="M275">
            <v>-10.700000000000001</v>
          </cell>
        </row>
        <row r="276">
          <cell r="L276" t="str">
            <v>Dont Account For</v>
          </cell>
          <cell r="M276">
            <v>-27.470833333333339</v>
          </cell>
        </row>
        <row r="277">
          <cell r="L277" t="str">
            <v>Regular Cost</v>
          </cell>
          <cell r="M277">
            <v>-300</v>
          </cell>
        </row>
        <row r="278">
          <cell r="L278" t="str">
            <v>Computer Hardware</v>
          </cell>
          <cell r="M278">
            <v>-82.737499999999997</v>
          </cell>
        </row>
        <row r="279">
          <cell r="L279" t="str">
            <v>Eating Out</v>
          </cell>
          <cell r="M279">
            <v>-10</v>
          </cell>
        </row>
        <row r="280">
          <cell r="L280" t="str">
            <v>Gifts</v>
          </cell>
          <cell r="M280">
            <v>-15</v>
          </cell>
        </row>
        <row r="281">
          <cell r="L281" t="str">
            <v>Eating Out</v>
          </cell>
          <cell r="M281">
            <v>-65</v>
          </cell>
        </row>
        <row r="282">
          <cell r="L282" t="str">
            <v>Groceries</v>
          </cell>
          <cell r="M282">
            <v>-24.97</v>
          </cell>
        </row>
        <row r="283">
          <cell r="L283" t="str">
            <v>Department Store</v>
          </cell>
          <cell r="M283">
            <v>-20</v>
          </cell>
        </row>
        <row r="284">
          <cell r="L284" t="str">
            <v>Regular Cost</v>
          </cell>
          <cell r="M284">
            <v>-116.66250000000001</v>
          </cell>
        </row>
        <row r="285">
          <cell r="L285" t="str">
            <v>Groceries</v>
          </cell>
          <cell r="M285">
            <v>-139.67500000000001</v>
          </cell>
        </row>
        <row r="286">
          <cell r="L286" t="str">
            <v>Unknown</v>
          </cell>
          <cell r="M286">
            <v>-20</v>
          </cell>
        </row>
        <row r="287">
          <cell r="L287" t="str">
            <v>Baby Sitting</v>
          </cell>
          <cell r="M287">
            <v>-50</v>
          </cell>
        </row>
        <row r="288">
          <cell r="L288" t="str">
            <v>Activities</v>
          </cell>
          <cell r="M288">
            <v>-15</v>
          </cell>
        </row>
        <row r="289">
          <cell r="L289" t="str">
            <v>Activities</v>
          </cell>
          <cell r="M289">
            <v>-26</v>
          </cell>
        </row>
        <row r="290">
          <cell r="L290" t="str">
            <v>Activities</v>
          </cell>
          <cell r="M290">
            <v>-20</v>
          </cell>
        </row>
        <row r="291">
          <cell r="L291" t="str">
            <v>Dont Account For</v>
          </cell>
          <cell r="M291">
            <v>0</v>
          </cell>
        </row>
        <row r="292">
          <cell r="L292" t="str">
            <v>Dont Account For</v>
          </cell>
          <cell r="M292">
            <v>1169.6041666666667</v>
          </cell>
        </row>
        <row r="293">
          <cell r="L293" t="str">
            <v>Dont Account For</v>
          </cell>
          <cell r="M293">
            <v>283.82499999999999</v>
          </cell>
        </row>
        <row r="294">
          <cell r="L294" t="str">
            <v>Dont Account For</v>
          </cell>
          <cell r="M294">
            <v>50</v>
          </cell>
        </row>
        <row r="295">
          <cell r="L295" t="str">
            <v>Dont Account For</v>
          </cell>
          <cell r="M295">
            <v>-50</v>
          </cell>
        </row>
        <row r="296">
          <cell r="L296" t="str">
            <v>Unknown</v>
          </cell>
          <cell r="M296">
            <v>-100</v>
          </cell>
        </row>
        <row r="297">
          <cell r="L297" t="str">
            <v>Dont Account For</v>
          </cell>
          <cell r="M297">
            <v>100</v>
          </cell>
        </row>
        <row r="298">
          <cell r="L298" t="str">
            <v>Eating Out</v>
          </cell>
          <cell r="M298">
            <v>-36.1</v>
          </cell>
        </row>
        <row r="299">
          <cell r="L299" t="str">
            <v>Bank Charges</v>
          </cell>
          <cell r="M299">
            <v>-6.15</v>
          </cell>
        </row>
        <row r="300">
          <cell r="L300" t="str">
            <v>Bank Charges</v>
          </cell>
          <cell r="M300">
            <v>-5</v>
          </cell>
        </row>
        <row r="301">
          <cell r="L301" t="str">
            <v>Bank Charges</v>
          </cell>
          <cell r="M301">
            <v>-2</v>
          </cell>
        </row>
        <row r="302">
          <cell r="L302" t="str">
            <v>Regular Cost</v>
          </cell>
          <cell r="M302">
            <v>-106.78</v>
          </cell>
        </row>
        <row r="303">
          <cell r="L303" t="str">
            <v>Regular Cost</v>
          </cell>
          <cell r="M303">
            <v>-57.02</v>
          </cell>
        </row>
        <row r="304">
          <cell r="L304" t="str">
            <v>Clothing</v>
          </cell>
          <cell r="M304">
            <v>-250.46250000000001</v>
          </cell>
        </row>
        <row r="305">
          <cell r="L305" t="str">
            <v>Dont Account For</v>
          </cell>
          <cell r="M305">
            <v>40</v>
          </cell>
        </row>
        <row r="306">
          <cell r="L306" t="str">
            <v>Eating Out</v>
          </cell>
          <cell r="M306">
            <v>-82.520833333333343</v>
          </cell>
        </row>
        <row r="307">
          <cell r="L307" t="str">
            <v>Dont Account For</v>
          </cell>
          <cell r="M307">
            <v>-9</v>
          </cell>
        </row>
        <row r="308">
          <cell r="L308" t="str">
            <v>Petrol</v>
          </cell>
          <cell r="M308">
            <v>-35.159999999999997</v>
          </cell>
        </row>
        <row r="309">
          <cell r="L309" t="str">
            <v>Regular Cost</v>
          </cell>
          <cell r="M309">
            <v>-59.858333333333334</v>
          </cell>
        </row>
        <row r="310">
          <cell r="L310" t="str">
            <v>Clothing</v>
          </cell>
          <cell r="M310">
            <v>-118.63750000000002</v>
          </cell>
        </row>
        <row r="311">
          <cell r="L311" t="str">
            <v>VOIP</v>
          </cell>
          <cell r="M311">
            <v>-11.987500000000001</v>
          </cell>
        </row>
        <row r="312">
          <cell r="L312" t="str">
            <v>Cinema</v>
          </cell>
          <cell r="M312">
            <v>-32.354166666666671</v>
          </cell>
        </row>
        <row r="313">
          <cell r="L313" t="str">
            <v>Groceries</v>
          </cell>
          <cell r="M313">
            <v>-70.825000000000003</v>
          </cell>
        </row>
        <row r="314">
          <cell r="L314" t="str">
            <v>Wool</v>
          </cell>
          <cell r="M314">
            <v>-227.21249999999998</v>
          </cell>
        </row>
        <row r="315">
          <cell r="L315" t="str">
            <v>Eating Out</v>
          </cell>
          <cell r="M315">
            <v>-32.13333333333334</v>
          </cell>
        </row>
        <row r="316">
          <cell r="L316" t="str">
            <v>Dont Account For</v>
          </cell>
          <cell r="M316">
            <v>-20.833333333333336</v>
          </cell>
        </row>
        <row r="317">
          <cell r="L317" t="str">
            <v>Unknown</v>
          </cell>
          <cell r="M317">
            <v>0</v>
          </cell>
        </row>
        <row r="318">
          <cell r="L318" t="str">
            <v>Unknown</v>
          </cell>
          <cell r="M318">
            <v>-30.133333333333333</v>
          </cell>
        </row>
        <row r="319">
          <cell r="L319" t="str">
            <v>Unknown</v>
          </cell>
          <cell r="M319">
            <v>-9.6875</v>
          </cell>
        </row>
        <row r="320">
          <cell r="L320" t="str">
            <v>Dont Account For</v>
          </cell>
          <cell r="M320">
            <v>0</v>
          </cell>
        </row>
        <row r="321">
          <cell r="L321" t="str">
            <v>Dont Account For</v>
          </cell>
          <cell r="M321">
            <v>837.5</v>
          </cell>
        </row>
        <row r="322">
          <cell r="L322" t="str">
            <v>Dont Account For</v>
          </cell>
          <cell r="M322">
            <v>20.833333333333336</v>
          </cell>
        </row>
        <row r="323">
          <cell r="L323" t="str">
            <v>Computer Software</v>
          </cell>
          <cell r="M323">
            <v>-38.75</v>
          </cell>
        </row>
        <row r="324">
          <cell r="L324" t="str">
            <v>Minerva Rent</v>
          </cell>
          <cell r="M324">
            <v>0</v>
          </cell>
        </row>
        <row r="325">
          <cell r="L325" t="str">
            <v>Minerva Rent</v>
          </cell>
          <cell r="M325">
            <v>3122.53</v>
          </cell>
        </row>
        <row r="326">
          <cell r="L326" t="str">
            <v>Minerva Agent</v>
          </cell>
          <cell r="M326">
            <v>-241.53</v>
          </cell>
        </row>
        <row r="327">
          <cell r="L327" t="str">
            <v>Minerva Agent</v>
          </cell>
          <cell r="M327">
            <v>-24.15</v>
          </cell>
        </row>
        <row r="328">
          <cell r="L328" t="str">
            <v>Minerva Maintenance</v>
          </cell>
          <cell r="M328">
            <v>-133.68</v>
          </cell>
        </row>
        <row r="329">
          <cell r="L329" t="str">
            <v>Minerva Maintenance</v>
          </cell>
          <cell r="M329">
            <v>-13.38</v>
          </cell>
        </row>
        <row r="330">
          <cell r="L330" t="str">
            <v>Dont Account For</v>
          </cell>
          <cell r="M330">
            <v>-25</v>
          </cell>
        </row>
        <row r="331">
          <cell r="L331" t="str">
            <v>Dont Account For</v>
          </cell>
          <cell r="M331">
            <v>-50</v>
          </cell>
        </row>
        <row r="332">
          <cell r="L332" t="str">
            <v>Groceries</v>
          </cell>
          <cell r="M332">
            <v>-167.27500000000001</v>
          </cell>
        </row>
        <row r="333">
          <cell r="L333" t="str">
            <v>Car Fines</v>
          </cell>
          <cell r="M333">
            <v>-59.791666666666671</v>
          </cell>
        </row>
        <row r="334">
          <cell r="L334" t="str">
            <v>Dont Account For</v>
          </cell>
          <cell r="M334">
            <v>50</v>
          </cell>
        </row>
        <row r="335">
          <cell r="L335" t="str">
            <v>Dont Account For</v>
          </cell>
          <cell r="M335">
            <v>0</v>
          </cell>
        </row>
        <row r="336">
          <cell r="L336" t="str">
            <v>Dont Account For</v>
          </cell>
          <cell r="M336">
            <v>41.666666666666671</v>
          </cell>
        </row>
        <row r="337">
          <cell r="L337" t="str">
            <v>Dont Account For</v>
          </cell>
          <cell r="M337">
            <v>41.666666666666671</v>
          </cell>
        </row>
        <row r="338">
          <cell r="L338" t="str">
            <v>Dont Account For</v>
          </cell>
          <cell r="M338">
            <v>41.666666666666671</v>
          </cell>
        </row>
        <row r="339">
          <cell r="L339" t="str">
            <v>Dont Account For</v>
          </cell>
          <cell r="M339">
            <v>41.666666666666671</v>
          </cell>
        </row>
        <row r="340">
          <cell r="L340" t="str">
            <v>Dont Account For</v>
          </cell>
          <cell r="M340">
            <v>41.666666666666671</v>
          </cell>
        </row>
        <row r="341">
          <cell r="L341" t="str">
            <v>Dont Account For</v>
          </cell>
          <cell r="M341">
            <v>41.666666666666671</v>
          </cell>
        </row>
        <row r="342">
          <cell r="L342" t="str">
            <v>Dont Account For</v>
          </cell>
          <cell r="M342">
            <v>41.666666666666671</v>
          </cell>
        </row>
        <row r="343">
          <cell r="L343" t="str">
            <v>Eating Out</v>
          </cell>
          <cell r="M343">
            <v>-30</v>
          </cell>
        </row>
        <row r="344">
          <cell r="L344" t="str">
            <v>Baby Sitting</v>
          </cell>
          <cell r="M344">
            <v>-40</v>
          </cell>
        </row>
        <row r="345">
          <cell r="L345" t="str">
            <v>Books, Videos, Magazines</v>
          </cell>
          <cell r="M345">
            <v>-10</v>
          </cell>
        </row>
        <row r="346">
          <cell r="L346" t="str">
            <v>Dont Account For</v>
          </cell>
          <cell r="M346">
            <v>-740</v>
          </cell>
        </row>
        <row r="347">
          <cell r="L347" t="str">
            <v>Dont Account For</v>
          </cell>
          <cell r="M347">
            <v>740</v>
          </cell>
        </row>
        <row r="348">
          <cell r="L348" t="str">
            <v>Doctor</v>
          </cell>
          <cell r="M348">
            <v>-142.97083333333333</v>
          </cell>
        </row>
        <row r="349">
          <cell r="L349" t="str">
            <v>Household Items</v>
          </cell>
          <cell r="M349">
            <v>-59.570833333333333</v>
          </cell>
        </row>
        <row r="350">
          <cell r="L350" t="str">
            <v>Stationary</v>
          </cell>
          <cell r="M350">
            <v>-45.274999999999999</v>
          </cell>
        </row>
        <row r="351">
          <cell r="L351" t="str">
            <v>Eating Out</v>
          </cell>
          <cell r="M351">
            <v>-16</v>
          </cell>
        </row>
        <row r="352">
          <cell r="L352" t="str">
            <v>Dont Account For</v>
          </cell>
          <cell r="M352">
            <v>-83.333333333333343</v>
          </cell>
        </row>
        <row r="353">
          <cell r="L353" t="str">
            <v>Dont Account For</v>
          </cell>
          <cell r="M353">
            <v>-833.33333333333337</v>
          </cell>
        </row>
        <row r="354">
          <cell r="L354" t="str">
            <v>Dont Account For</v>
          </cell>
          <cell r="M354">
            <v>833.33333333333337</v>
          </cell>
        </row>
        <row r="355">
          <cell r="L355" t="str">
            <v>Dont Account For</v>
          </cell>
          <cell r="M355">
            <v>-25</v>
          </cell>
        </row>
        <row r="356">
          <cell r="L356" t="str">
            <v>Dont Account For</v>
          </cell>
          <cell r="M356">
            <v>-40</v>
          </cell>
        </row>
        <row r="357">
          <cell r="L357" t="str">
            <v>Dont Account For</v>
          </cell>
          <cell r="M357">
            <v>40</v>
          </cell>
        </row>
        <row r="358">
          <cell r="L358" t="str">
            <v>Dont Account For</v>
          </cell>
          <cell r="M358">
            <v>-33.333333333333336</v>
          </cell>
        </row>
        <row r="359">
          <cell r="L359" t="str">
            <v>Dont Account For</v>
          </cell>
          <cell r="M359">
            <v>-96.958333333333329</v>
          </cell>
        </row>
        <row r="360">
          <cell r="L360" t="str">
            <v>Dont Account For</v>
          </cell>
          <cell r="M360">
            <v>41.666666666666671</v>
          </cell>
        </row>
        <row r="361">
          <cell r="L361" t="str">
            <v>Dont Account For</v>
          </cell>
          <cell r="M361">
            <v>-16.666666666666668</v>
          </cell>
        </row>
        <row r="362">
          <cell r="L362" t="str">
            <v>Dont Account For</v>
          </cell>
          <cell r="M362">
            <v>-34.791666666666671</v>
          </cell>
        </row>
        <row r="363">
          <cell r="L363" t="str">
            <v>Dont Account For</v>
          </cell>
          <cell r="M363">
            <v>-30</v>
          </cell>
        </row>
        <row r="364">
          <cell r="L364" t="str">
            <v>Dont Account For</v>
          </cell>
          <cell r="M364">
            <v>-126.95</v>
          </cell>
        </row>
        <row r="365">
          <cell r="L365" t="str">
            <v>Department Store</v>
          </cell>
          <cell r="M365">
            <v>-87.408333333333331</v>
          </cell>
        </row>
        <row r="366">
          <cell r="L366" t="str">
            <v>Petrol</v>
          </cell>
          <cell r="M366">
            <v>-108.98333333333333</v>
          </cell>
        </row>
        <row r="367">
          <cell r="L367" t="str">
            <v>Unknown</v>
          </cell>
          <cell r="M367">
            <v>-158.96666666666667</v>
          </cell>
        </row>
        <row r="368">
          <cell r="L368" t="str">
            <v>Autumn Electricity</v>
          </cell>
          <cell r="M368">
            <v>-447.67083333333341</v>
          </cell>
        </row>
        <row r="369">
          <cell r="L369" t="str">
            <v>Dont Account For</v>
          </cell>
          <cell r="M369">
            <v>166.66666666666669</v>
          </cell>
        </row>
        <row r="370">
          <cell r="L370" t="str">
            <v>Dont Account For</v>
          </cell>
          <cell r="M370">
            <v>-10</v>
          </cell>
        </row>
        <row r="371">
          <cell r="L371" t="str">
            <v>Clothing</v>
          </cell>
          <cell r="M371">
            <v>-25</v>
          </cell>
        </row>
        <row r="372">
          <cell r="L372" t="str">
            <v>Dont Account For</v>
          </cell>
          <cell r="M372">
            <v>-70</v>
          </cell>
        </row>
        <row r="373">
          <cell r="L373" t="str">
            <v>Bank Charges</v>
          </cell>
          <cell r="M373">
            <v>-1.5</v>
          </cell>
        </row>
        <row r="374">
          <cell r="L374" t="str">
            <v>Dont Account For</v>
          </cell>
          <cell r="M374">
            <v>70</v>
          </cell>
        </row>
        <row r="375">
          <cell r="L375" t="str">
            <v>Dont Account For</v>
          </cell>
          <cell r="M375">
            <v>-933.6</v>
          </cell>
        </row>
        <row r="376">
          <cell r="L376" t="str">
            <v>Dont Account For</v>
          </cell>
          <cell r="M376">
            <v>-34.791666666666671</v>
          </cell>
        </row>
        <row r="377">
          <cell r="L377" t="str">
            <v>Unknown</v>
          </cell>
          <cell r="M377">
            <v>-10</v>
          </cell>
        </row>
        <row r="378">
          <cell r="L378" t="str">
            <v>Dont Account For</v>
          </cell>
          <cell r="M378">
            <v>-10</v>
          </cell>
        </row>
        <row r="379">
          <cell r="L379" t="str">
            <v>Dont Account For</v>
          </cell>
          <cell r="M379">
            <v>-25</v>
          </cell>
        </row>
        <row r="380">
          <cell r="L380" t="str">
            <v>Dont Account For</v>
          </cell>
          <cell r="M380">
            <v>-4.166666666666667</v>
          </cell>
        </row>
        <row r="381">
          <cell r="L381" t="str">
            <v>Eating Out</v>
          </cell>
          <cell r="M381">
            <v>-19.712500000000002</v>
          </cell>
        </row>
        <row r="382">
          <cell r="L382" t="str">
            <v>Groceries</v>
          </cell>
          <cell r="M382">
            <v>-202.07916666666668</v>
          </cell>
        </row>
        <row r="383">
          <cell r="L383" t="str">
            <v>Dont Account For</v>
          </cell>
          <cell r="M383">
            <v>41.666666666666671</v>
          </cell>
        </row>
        <row r="384">
          <cell r="L384" t="str">
            <v>Gifts</v>
          </cell>
          <cell r="M384">
            <v>-14.4</v>
          </cell>
        </row>
        <row r="385">
          <cell r="L385" t="str">
            <v>VOIP</v>
          </cell>
          <cell r="M385">
            <v>-7.0833333333333339</v>
          </cell>
        </row>
        <row r="386">
          <cell r="L386" t="str">
            <v>Regular Cost</v>
          </cell>
          <cell r="M386">
            <v>-29.658333333333339</v>
          </cell>
        </row>
        <row r="387">
          <cell r="L387" t="str">
            <v>Uniforms</v>
          </cell>
          <cell r="M387">
            <v>-31.037499999999998</v>
          </cell>
        </row>
        <row r="388">
          <cell r="L388" t="str">
            <v>Computer Software</v>
          </cell>
          <cell r="M388">
            <v>-29.495833333333337</v>
          </cell>
        </row>
        <row r="389">
          <cell r="L389" t="str">
            <v>Unknown</v>
          </cell>
          <cell r="M389">
            <v>-178.62083333333334</v>
          </cell>
        </row>
        <row r="390">
          <cell r="L390" t="str">
            <v>Dont Account For</v>
          </cell>
          <cell r="M390">
            <v>100</v>
          </cell>
        </row>
        <row r="391">
          <cell r="L391" t="str">
            <v>Dont Account For</v>
          </cell>
          <cell r="M391">
            <v>-102.08333333333334</v>
          </cell>
        </row>
        <row r="392">
          <cell r="L392" t="str">
            <v>Eating Out</v>
          </cell>
          <cell r="M392">
            <v>-18</v>
          </cell>
        </row>
        <row r="393">
          <cell r="L393" t="str">
            <v>Books, Videos, Magazines</v>
          </cell>
          <cell r="M393">
            <v>-10</v>
          </cell>
        </row>
        <row r="394">
          <cell r="L394" t="str">
            <v>Eating Out</v>
          </cell>
          <cell r="M394">
            <v>-42.670833333333334</v>
          </cell>
        </row>
        <row r="395">
          <cell r="L395" t="str">
            <v>Doctor</v>
          </cell>
          <cell r="M395">
            <v>-66.108333333333334</v>
          </cell>
        </row>
        <row r="396">
          <cell r="L396" t="str">
            <v>Chemist</v>
          </cell>
          <cell r="M396">
            <v>-17.487500000000001</v>
          </cell>
        </row>
        <row r="397">
          <cell r="L397" t="str">
            <v>Bank Charges</v>
          </cell>
          <cell r="M397">
            <v>-37.179166666666667</v>
          </cell>
        </row>
        <row r="398">
          <cell r="L398" t="str">
            <v>Dont Account For</v>
          </cell>
          <cell r="M398">
            <v>-12</v>
          </cell>
        </row>
        <row r="399">
          <cell r="L399" t="str">
            <v>Unknown</v>
          </cell>
          <cell r="M399">
            <v>-50</v>
          </cell>
        </row>
        <row r="400">
          <cell r="L400" t="str">
            <v>Unknown</v>
          </cell>
          <cell r="M400">
            <v>-5</v>
          </cell>
        </row>
        <row r="401">
          <cell r="L401" t="str">
            <v>Dont Account For</v>
          </cell>
          <cell r="M401">
            <v>-25</v>
          </cell>
        </row>
        <row r="402">
          <cell r="L402" t="str">
            <v>Dont Account For</v>
          </cell>
          <cell r="M402">
            <v>50</v>
          </cell>
        </row>
        <row r="403">
          <cell r="L403" t="str">
            <v>Gifts</v>
          </cell>
          <cell r="M403">
            <v>-53.962499999999999</v>
          </cell>
        </row>
        <row r="404">
          <cell r="L404" t="str">
            <v>Dont Account For</v>
          </cell>
          <cell r="M404">
            <v>-100</v>
          </cell>
        </row>
        <row r="405">
          <cell r="L405" t="str">
            <v>Dont Account For</v>
          </cell>
          <cell r="M405">
            <v>-45.916666666666671</v>
          </cell>
        </row>
        <row r="406">
          <cell r="L406" t="str">
            <v>Dont Account For</v>
          </cell>
          <cell r="M406">
            <v>41.666666666666671</v>
          </cell>
        </row>
        <row r="407">
          <cell r="L407" t="str">
            <v>Dont Account For</v>
          </cell>
          <cell r="M407">
            <v>41.666666666666671</v>
          </cell>
        </row>
        <row r="408">
          <cell r="L408" t="str">
            <v>Chemist</v>
          </cell>
          <cell r="M408">
            <v>-37.354166666666671</v>
          </cell>
        </row>
        <row r="409">
          <cell r="L409" t="str">
            <v>Dont Account For</v>
          </cell>
          <cell r="M409">
            <v>-520.83333333333337</v>
          </cell>
        </row>
        <row r="410">
          <cell r="L410" t="str">
            <v>Dont Account For</v>
          </cell>
          <cell r="M410">
            <v>-16.666666666666668</v>
          </cell>
        </row>
        <row r="411">
          <cell r="L411" t="str">
            <v>Dont Account For</v>
          </cell>
          <cell r="M411">
            <v>45.833333333333336</v>
          </cell>
        </row>
        <row r="412">
          <cell r="L412" t="str">
            <v>Dont Account For</v>
          </cell>
          <cell r="M412">
            <v>27.083333333333336</v>
          </cell>
        </row>
        <row r="413">
          <cell r="L413" t="str">
            <v>Dont Account For</v>
          </cell>
          <cell r="M413">
            <v>-20.833333333333336</v>
          </cell>
        </row>
        <row r="414">
          <cell r="L414" t="str">
            <v>Baby Sitting</v>
          </cell>
          <cell r="M414">
            <v>-500</v>
          </cell>
        </row>
        <row r="415">
          <cell r="L415" t="str">
            <v>Dont Account For</v>
          </cell>
          <cell r="M415">
            <v>41.666666666666671</v>
          </cell>
        </row>
        <row r="416">
          <cell r="L416" t="str">
            <v>Dont Account For</v>
          </cell>
          <cell r="M416">
            <v>500</v>
          </cell>
        </row>
        <row r="417">
          <cell r="L417" t="str">
            <v>Regular Cost</v>
          </cell>
          <cell r="M417">
            <v>-420</v>
          </cell>
        </row>
        <row r="418">
          <cell r="L418" t="str">
            <v>Chemist</v>
          </cell>
          <cell r="M418">
            <v>-25.400000000000002</v>
          </cell>
        </row>
        <row r="419">
          <cell r="L419" t="str">
            <v>Doctor</v>
          </cell>
          <cell r="M419">
            <v>-53.541666666666671</v>
          </cell>
        </row>
        <row r="420">
          <cell r="L420" t="str">
            <v>Doctor</v>
          </cell>
          <cell r="M420">
            <v>-65.441666666666677</v>
          </cell>
        </row>
        <row r="421">
          <cell r="L421" t="str">
            <v>Optus Home Phone</v>
          </cell>
          <cell r="M421">
            <v>-175.17500000000001</v>
          </cell>
        </row>
        <row r="422">
          <cell r="L422" t="str">
            <v>Groceries</v>
          </cell>
          <cell r="M422">
            <v>-62.966666666666669</v>
          </cell>
        </row>
        <row r="423">
          <cell r="L423" t="str">
            <v>Wool</v>
          </cell>
          <cell r="M423">
            <v>-41.258333333333333</v>
          </cell>
        </row>
        <row r="424">
          <cell r="L424" t="str">
            <v>Eating Out</v>
          </cell>
          <cell r="M424">
            <v>-28.979166666666668</v>
          </cell>
        </row>
        <row r="425">
          <cell r="L425" t="str">
            <v>Groceries</v>
          </cell>
          <cell r="M425">
            <v>-97.045833333333334</v>
          </cell>
        </row>
        <row r="426">
          <cell r="L426" t="str">
            <v>Wool</v>
          </cell>
          <cell r="M426">
            <v>-38.420833333333334</v>
          </cell>
        </row>
        <row r="427">
          <cell r="L427" t="str">
            <v>Dont Account For</v>
          </cell>
          <cell r="M427">
            <v>-84.395833333333343</v>
          </cell>
        </row>
        <row r="428">
          <cell r="L428" t="str">
            <v>Doctor</v>
          </cell>
          <cell r="M428">
            <v>-37.516666666666673</v>
          </cell>
        </row>
        <row r="429">
          <cell r="L429" t="str">
            <v>Household Items</v>
          </cell>
          <cell r="M429">
            <v>-181.375</v>
          </cell>
        </row>
        <row r="430">
          <cell r="L430" t="str">
            <v>Gifts</v>
          </cell>
          <cell r="M430">
            <v>-196.32083333333335</v>
          </cell>
        </row>
        <row r="431">
          <cell r="L431" t="str">
            <v>Dont Account For</v>
          </cell>
          <cell r="M431">
            <v>-33.333333333333336</v>
          </cell>
        </row>
        <row r="432">
          <cell r="L432" t="str">
            <v>Dont Account For</v>
          </cell>
          <cell r="M432">
            <v>1000</v>
          </cell>
        </row>
        <row r="433">
          <cell r="L433" t="str">
            <v>Regular Cost</v>
          </cell>
          <cell r="M433">
            <v>-29.658333333333339</v>
          </cell>
        </row>
        <row r="434">
          <cell r="L434" t="str">
            <v>Gifts</v>
          </cell>
          <cell r="M434">
            <v>-52.2</v>
          </cell>
        </row>
        <row r="435">
          <cell r="L435" t="str">
            <v>Groceries</v>
          </cell>
          <cell r="M435">
            <v>-127.20416666666668</v>
          </cell>
        </row>
        <row r="436">
          <cell r="L436" t="str">
            <v>Regular Cost</v>
          </cell>
          <cell r="M436">
            <v>-71.183333333333337</v>
          </cell>
        </row>
        <row r="437">
          <cell r="L437" t="str">
            <v>Dont Account For</v>
          </cell>
          <cell r="M437">
            <v>-23.858333333333334</v>
          </cell>
        </row>
        <row r="438">
          <cell r="L438" t="str">
            <v>Activities</v>
          </cell>
          <cell r="M438">
            <v>-15.516666666666667</v>
          </cell>
        </row>
        <row r="439">
          <cell r="L439" t="str">
            <v>Eating Out</v>
          </cell>
          <cell r="M439">
            <v>-30</v>
          </cell>
        </row>
        <row r="440">
          <cell r="L440" t="str">
            <v>Dont Account For</v>
          </cell>
          <cell r="M440">
            <v>-15</v>
          </cell>
        </row>
        <row r="441">
          <cell r="L441" t="str">
            <v>Unknown</v>
          </cell>
          <cell r="M441">
            <v>-20</v>
          </cell>
        </row>
        <row r="442">
          <cell r="L442" t="str">
            <v>Dont Account For</v>
          </cell>
          <cell r="M442">
            <v>41.666666666666671</v>
          </cell>
        </row>
        <row r="443">
          <cell r="L443" t="str">
            <v>Dont Account For</v>
          </cell>
          <cell r="M443">
            <v>-4.166666666666667</v>
          </cell>
        </row>
        <row r="444">
          <cell r="L444" t="str">
            <v>Books, Videos, Magazines</v>
          </cell>
          <cell r="M444">
            <v>-35.291666666666671</v>
          </cell>
        </row>
        <row r="445">
          <cell r="L445" t="str">
            <v>Dont Account For</v>
          </cell>
          <cell r="M445">
            <v>-73.854166666666671</v>
          </cell>
        </row>
        <row r="446">
          <cell r="L446" t="str">
            <v>Cinema</v>
          </cell>
          <cell r="M446">
            <v>-16.016666666666666</v>
          </cell>
        </row>
        <row r="447">
          <cell r="L447" t="str">
            <v>Dont Account For</v>
          </cell>
          <cell r="M447">
            <v>-12.5</v>
          </cell>
        </row>
        <row r="448">
          <cell r="L448" t="str">
            <v>Dont Account For</v>
          </cell>
          <cell r="M448">
            <v>-1458.3333333333335</v>
          </cell>
        </row>
        <row r="449">
          <cell r="L449" t="str">
            <v>Dont Account For</v>
          </cell>
          <cell r="M449">
            <v>1458.3333333333335</v>
          </cell>
        </row>
        <row r="450">
          <cell r="L450" t="str">
            <v>Dont Account For</v>
          </cell>
          <cell r="M450">
            <v>-4.166666666666667</v>
          </cell>
        </row>
        <row r="451">
          <cell r="L451" t="str">
            <v>Dont Account For</v>
          </cell>
          <cell r="M451">
            <v>-29.166666666666668</v>
          </cell>
        </row>
        <row r="452">
          <cell r="L452" t="str">
            <v>Dont Account For</v>
          </cell>
          <cell r="M452">
            <v>-8.3333333333333339</v>
          </cell>
        </row>
        <row r="453">
          <cell r="L453" t="str">
            <v>Groceries</v>
          </cell>
          <cell r="M453">
            <v>-15</v>
          </cell>
        </row>
        <row r="454">
          <cell r="L454" t="str">
            <v>Unknown</v>
          </cell>
          <cell r="M454">
            <v>-16</v>
          </cell>
        </row>
        <row r="455">
          <cell r="L455" t="str">
            <v>Dont Account For</v>
          </cell>
          <cell r="M455">
            <v>-124.30833333333332</v>
          </cell>
        </row>
        <row r="456">
          <cell r="L456" t="str">
            <v>Dont Account For</v>
          </cell>
          <cell r="M456">
            <v>-16.666666666666668</v>
          </cell>
        </row>
        <row r="457">
          <cell r="L457" t="str">
            <v>Dont Account For</v>
          </cell>
          <cell r="M457">
            <v>-20.833333333333336</v>
          </cell>
        </row>
        <row r="458">
          <cell r="L458" t="str">
            <v>Eating Out</v>
          </cell>
          <cell r="M458">
            <v>-29.820833333333333</v>
          </cell>
        </row>
        <row r="459">
          <cell r="L459" t="str">
            <v>Car Maintenance</v>
          </cell>
          <cell r="M459">
            <v>-13.1</v>
          </cell>
        </row>
        <row r="460">
          <cell r="L460" t="str">
            <v>Car Maintenance</v>
          </cell>
          <cell r="M460">
            <v>-15.98</v>
          </cell>
        </row>
        <row r="461">
          <cell r="L461" t="str">
            <v>Eating Out</v>
          </cell>
          <cell r="M461">
            <v>-10</v>
          </cell>
        </row>
        <row r="462">
          <cell r="L462" t="str">
            <v>Dont Account For</v>
          </cell>
          <cell r="M462">
            <v>-16.666666666666668</v>
          </cell>
        </row>
        <row r="463">
          <cell r="L463" t="str">
            <v>Dont Account For</v>
          </cell>
          <cell r="M463">
            <v>-20.833333333333336</v>
          </cell>
        </row>
        <row r="464">
          <cell r="L464" t="str">
            <v>Regular Cost</v>
          </cell>
          <cell r="M464">
            <v>-60</v>
          </cell>
        </row>
        <row r="465">
          <cell r="L465" t="str">
            <v>Groceries</v>
          </cell>
          <cell r="M465">
            <v>-8.9</v>
          </cell>
        </row>
        <row r="466">
          <cell r="L466" t="str">
            <v>Regular Cost</v>
          </cell>
          <cell r="M466">
            <v>-305.72500000000002</v>
          </cell>
        </row>
        <row r="467">
          <cell r="L467" t="str">
            <v>Dont Account For</v>
          </cell>
          <cell r="M467">
            <v>-75.529166666666669</v>
          </cell>
        </row>
        <row r="468">
          <cell r="L468" t="str">
            <v>Unknown</v>
          </cell>
          <cell r="M468">
            <v>-23.620833333333334</v>
          </cell>
        </row>
        <row r="469">
          <cell r="L469" t="str">
            <v>Doctor</v>
          </cell>
          <cell r="M469">
            <v>-143.17083333333335</v>
          </cell>
        </row>
        <row r="470">
          <cell r="L470" t="str">
            <v>Books, Videos, Magazines</v>
          </cell>
          <cell r="M470">
            <v>-173.08333333333334</v>
          </cell>
        </row>
        <row r="471">
          <cell r="L471" t="str">
            <v>Eating Out</v>
          </cell>
          <cell r="M471">
            <v>-10</v>
          </cell>
        </row>
        <row r="472">
          <cell r="L472" t="str">
            <v>Unknown</v>
          </cell>
          <cell r="M472">
            <v>-5</v>
          </cell>
        </row>
        <row r="473">
          <cell r="L473" t="str">
            <v>Eating Out</v>
          </cell>
          <cell r="M473">
            <v>-10</v>
          </cell>
        </row>
        <row r="474">
          <cell r="L474" t="str">
            <v>Dont Account For</v>
          </cell>
          <cell r="M474">
            <v>0</v>
          </cell>
        </row>
        <row r="475">
          <cell r="L475" t="str">
            <v>Dont Account For</v>
          </cell>
          <cell r="M475">
            <v>1169.6041666666667</v>
          </cell>
        </row>
        <row r="476">
          <cell r="L476" t="str">
            <v>Dont Account For</v>
          </cell>
          <cell r="M476">
            <v>283.82499999999999</v>
          </cell>
        </row>
        <row r="477">
          <cell r="L477" t="str">
            <v>Dont Account For</v>
          </cell>
          <cell r="M477">
            <v>-136.25</v>
          </cell>
        </row>
        <row r="478">
          <cell r="L478" t="str">
            <v>Dont Account For</v>
          </cell>
          <cell r="M478">
            <v>0</v>
          </cell>
        </row>
        <row r="479">
          <cell r="L479" t="str">
            <v>Dont Account For</v>
          </cell>
          <cell r="M479">
            <v>-20.833333333333336</v>
          </cell>
        </row>
        <row r="480">
          <cell r="L480" t="str">
            <v>Dont Account For</v>
          </cell>
          <cell r="M480">
            <v>-30.416666666666668</v>
          </cell>
        </row>
        <row r="481">
          <cell r="L481" t="str">
            <v>Car Maintenance</v>
          </cell>
          <cell r="M481">
            <v>-668.08750000000009</v>
          </cell>
        </row>
        <row r="482">
          <cell r="L482" t="str">
            <v>Eating Out</v>
          </cell>
          <cell r="M482">
            <v>-5</v>
          </cell>
        </row>
        <row r="483">
          <cell r="L483" t="str">
            <v>Unknown</v>
          </cell>
          <cell r="M483">
            <v>-80</v>
          </cell>
        </row>
        <row r="484">
          <cell r="L484" t="str">
            <v>Dont Account For</v>
          </cell>
          <cell r="M484">
            <v>80</v>
          </cell>
        </row>
        <row r="485">
          <cell r="L485" t="str">
            <v>Books, Videos, Magazines</v>
          </cell>
          <cell r="M485">
            <v>-32.858333333333334</v>
          </cell>
        </row>
        <row r="486">
          <cell r="L486" t="str">
            <v>Unknown</v>
          </cell>
          <cell r="M486">
            <v>-40</v>
          </cell>
        </row>
        <row r="487">
          <cell r="L487" t="str">
            <v>Bank Charges</v>
          </cell>
          <cell r="M487">
            <v>-1.5</v>
          </cell>
        </row>
        <row r="488">
          <cell r="L488" t="str">
            <v>Eating Out</v>
          </cell>
          <cell r="M488">
            <v>-127.70416666666668</v>
          </cell>
        </row>
        <row r="489">
          <cell r="L489" t="str">
            <v>Dont Account For</v>
          </cell>
          <cell r="M489">
            <v>-47.3</v>
          </cell>
        </row>
        <row r="490">
          <cell r="L490" t="str">
            <v>Chemist</v>
          </cell>
          <cell r="M490">
            <v>-12.354166666666666</v>
          </cell>
        </row>
        <row r="491">
          <cell r="L491" t="str">
            <v>Dont Account For</v>
          </cell>
          <cell r="M491">
            <v>380.41666666666669</v>
          </cell>
        </row>
        <row r="492">
          <cell r="L492" t="str">
            <v>Eating Out</v>
          </cell>
          <cell r="M492">
            <v>-34.287500000000001</v>
          </cell>
        </row>
        <row r="493">
          <cell r="L493" t="str">
            <v>Eating Out</v>
          </cell>
          <cell r="M493">
            <v>-23.558333333333334</v>
          </cell>
        </row>
        <row r="494">
          <cell r="L494" t="str">
            <v>Groceries</v>
          </cell>
          <cell r="M494">
            <v>-71.595833333333346</v>
          </cell>
        </row>
        <row r="495">
          <cell r="L495" t="str">
            <v>Unknown</v>
          </cell>
          <cell r="M495">
            <v>-13.329166666666666</v>
          </cell>
        </row>
        <row r="496">
          <cell r="L496" t="str">
            <v>Unknown</v>
          </cell>
          <cell r="M496">
            <v>-70.679166666666674</v>
          </cell>
        </row>
        <row r="497">
          <cell r="L497" t="str">
            <v>Dont Account For</v>
          </cell>
          <cell r="M497">
            <v>40</v>
          </cell>
        </row>
        <row r="498">
          <cell r="L498" t="str">
            <v>Dont Account For</v>
          </cell>
          <cell r="M498">
            <v>40</v>
          </cell>
        </row>
        <row r="499">
          <cell r="L499" t="str">
            <v>Car Maintenance</v>
          </cell>
          <cell r="M499">
            <v>-65.337500000000006</v>
          </cell>
        </row>
        <row r="500">
          <cell r="L500" t="str">
            <v>Petrol</v>
          </cell>
          <cell r="M500">
            <v>-18.399999999999999</v>
          </cell>
        </row>
        <row r="501">
          <cell r="L501" t="str">
            <v>Regular Cost</v>
          </cell>
          <cell r="M501">
            <v>-115.64166666666668</v>
          </cell>
        </row>
        <row r="502">
          <cell r="L502" t="str">
            <v>Wool</v>
          </cell>
          <cell r="M502">
            <v>-213.17500000000001</v>
          </cell>
        </row>
        <row r="503">
          <cell r="L503" t="str">
            <v>Doctor</v>
          </cell>
          <cell r="M503">
            <v>-65.337500000000006</v>
          </cell>
        </row>
        <row r="504">
          <cell r="L504" t="str">
            <v>Groceries</v>
          </cell>
          <cell r="M504">
            <v>-149.67916666666667</v>
          </cell>
        </row>
        <row r="505">
          <cell r="L505" t="str">
            <v>Dont Account For</v>
          </cell>
          <cell r="M505">
            <v>800</v>
          </cell>
        </row>
        <row r="506">
          <cell r="L506" t="str">
            <v>Unknown</v>
          </cell>
          <cell r="M506">
            <v>-800</v>
          </cell>
        </row>
        <row r="507">
          <cell r="L507" t="str">
            <v>Groceries</v>
          </cell>
          <cell r="M507">
            <v>-40</v>
          </cell>
        </row>
        <row r="508">
          <cell r="L508" t="str">
            <v>Dont Account For</v>
          </cell>
          <cell r="M508">
            <v>-25</v>
          </cell>
        </row>
        <row r="509">
          <cell r="L509" t="str">
            <v>Groceries</v>
          </cell>
          <cell r="M509">
            <v>-10</v>
          </cell>
        </row>
        <row r="510">
          <cell r="L510" t="str">
            <v>Eating Out</v>
          </cell>
          <cell r="M510">
            <v>-29.033333333333339</v>
          </cell>
        </row>
        <row r="511">
          <cell r="L511" t="str">
            <v>Dont Account For</v>
          </cell>
          <cell r="M511">
            <v>-113.29583333333335</v>
          </cell>
        </row>
        <row r="512">
          <cell r="L512" t="str">
            <v>Eating Out</v>
          </cell>
          <cell r="M512">
            <v>-85.870833333333337</v>
          </cell>
        </row>
        <row r="513">
          <cell r="L513" t="str">
            <v>Dont Account For</v>
          </cell>
          <cell r="M513">
            <v>456.20416666666671</v>
          </cell>
        </row>
        <row r="514">
          <cell r="L514" t="str">
            <v>Regular Cost</v>
          </cell>
          <cell r="M514">
            <v>-18.366666666666667</v>
          </cell>
        </row>
        <row r="515">
          <cell r="L515" t="str">
            <v>Unknown</v>
          </cell>
          <cell r="M515">
            <v>-10</v>
          </cell>
        </row>
        <row r="516">
          <cell r="L516" t="str">
            <v>Dont Account For</v>
          </cell>
          <cell r="M516">
            <v>10</v>
          </cell>
        </row>
        <row r="517">
          <cell r="L517" t="str">
            <v>Baby Sitting</v>
          </cell>
          <cell r="M517">
            <v>-56</v>
          </cell>
        </row>
        <row r="518">
          <cell r="L518" t="str">
            <v>Minerva Rent</v>
          </cell>
          <cell r="M518">
            <v>0</v>
          </cell>
        </row>
        <row r="519">
          <cell r="L519" t="str">
            <v>Minerva Rent</v>
          </cell>
          <cell r="M519">
            <v>3122.53</v>
          </cell>
        </row>
        <row r="520">
          <cell r="L520" t="str">
            <v>Minerva Agent</v>
          </cell>
          <cell r="M520">
            <v>-241.53</v>
          </cell>
        </row>
        <row r="521">
          <cell r="L521" t="str">
            <v>Minerva Agent</v>
          </cell>
          <cell r="M521">
            <v>-24.15</v>
          </cell>
        </row>
        <row r="522">
          <cell r="L522" t="str">
            <v>Minerva Maintenance</v>
          </cell>
          <cell r="M522">
            <v>-133.97</v>
          </cell>
        </row>
        <row r="523">
          <cell r="L523" t="str">
            <v>Minerva Agent</v>
          </cell>
          <cell r="M523">
            <v>-13.38</v>
          </cell>
        </row>
        <row r="524">
          <cell r="L524" t="str">
            <v>Household Items</v>
          </cell>
          <cell r="M524">
            <v>-15</v>
          </cell>
        </row>
        <row r="525">
          <cell r="L525" t="str">
            <v>Bank Charges</v>
          </cell>
          <cell r="M525">
            <v>-4.2</v>
          </cell>
        </row>
        <row r="526">
          <cell r="L526" t="str">
            <v>Unknown</v>
          </cell>
          <cell r="M526">
            <v>-100</v>
          </cell>
        </row>
        <row r="527">
          <cell r="L527" t="str">
            <v>Dont Account For</v>
          </cell>
          <cell r="M527">
            <v>100</v>
          </cell>
        </row>
        <row r="528">
          <cell r="L528" t="str">
            <v>Bank Charges</v>
          </cell>
          <cell r="M528">
            <v>-5</v>
          </cell>
        </row>
        <row r="529">
          <cell r="L529" t="str">
            <v>Regular Cost</v>
          </cell>
          <cell r="M529">
            <v>-167.95</v>
          </cell>
        </row>
        <row r="530">
          <cell r="L530" t="str">
            <v>Dont Account For</v>
          </cell>
          <cell r="M530">
            <v>0.05</v>
          </cell>
        </row>
        <row r="531">
          <cell r="L531" t="str">
            <v>Bank Charges</v>
          </cell>
          <cell r="M531">
            <v>-2</v>
          </cell>
        </row>
        <row r="532">
          <cell r="L532" t="str">
            <v>Eating Out</v>
          </cell>
          <cell r="M532">
            <v>-36.083333333333336</v>
          </cell>
        </row>
        <row r="533">
          <cell r="L533" t="str">
            <v>Cinema</v>
          </cell>
          <cell r="M533">
            <v>-22.704166666666669</v>
          </cell>
        </row>
        <row r="534">
          <cell r="L534" t="str">
            <v>Regular Cost</v>
          </cell>
          <cell r="M534">
            <v>-59.74583333333333</v>
          </cell>
        </row>
        <row r="535">
          <cell r="L535" t="str">
            <v>Groceries</v>
          </cell>
          <cell r="M535">
            <v>-28.079166666666669</v>
          </cell>
        </row>
        <row r="536">
          <cell r="L536" t="str">
            <v>Car Maintenance</v>
          </cell>
          <cell r="M536">
            <v>-1672.8500000000001</v>
          </cell>
        </row>
        <row r="537">
          <cell r="L537" t="str">
            <v>Cinema</v>
          </cell>
          <cell r="M537">
            <v>-83.645833333333343</v>
          </cell>
        </row>
        <row r="538">
          <cell r="L538" t="str">
            <v>Doctor</v>
          </cell>
          <cell r="M538">
            <v>-475.20416666666671</v>
          </cell>
        </row>
        <row r="539">
          <cell r="L539" t="str">
            <v>Gifts</v>
          </cell>
          <cell r="M539">
            <v>-91.933333333333337</v>
          </cell>
        </row>
        <row r="540">
          <cell r="L540" t="str">
            <v>Cinema</v>
          </cell>
          <cell r="M540">
            <v>-21.491666666666667</v>
          </cell>
        </row>
        <row r="541">
          <cell r="L541" t="str">
            <v>Unknown</v>
          </cell>
          <cell r="M541">
            <v>-59.258333333333333</v>
          </cell>
        </row>
        <row r="542">
          <cell r="L542" t="str">
            <v>Dont Account For</v>
          </cell>
          <cell r="M542">
            <v>295.41666666666669</v>
          </cell>
        </row>
        <row r="543">
          <cell r="L543" t="str">
            <v>Unknown</v>
          </cell>
          <cell r="M543">
            <v>-60</v>
          </cell>
        </row>
        <row r="544">
          <cell r="L544" t="str">
            <v>Bank Charges</v>
          </cell>
          <cell r="M544">
            <v>-1.5</v>
          </cell>
        </row>
        <row r="545">
          <cell r="L545" t="str">
            <v>Dont Account For</v>
          </cell>
          <cell r="M545">
            <v>60</v>
          </cell>
        </row>
        <row r="546">
          <cell r="L546" t="str">
            <v>Regular Cost</v>
          </cell>
          <cell r="M546">
            <v>-59.74583333333333</v>
          </cell>
        </row>
        <row r="547">
          <cell r="L547" t="str">
            <v>Eating Out</v>
          </cell>
          <cell r="M547">
            <v>-17.583333333333336</v>
          </cell>
        </row>
        <row r="548">
          <cell r="L548" t="str">
            <v>Unknown</v>
          </cell>
          <cell r="M548">
            <v>-18.541666666666668</v>
          </cell>
        </row>
        <row r="549">
          <cell r="L549" t="str">
            <v>Eating Out</v>
          </cell>
          <cell r="M549">
            <v>-39.466666666666669</v>
          </cell>
        </row>
        <row r="550">
          <cell r="M550">
            <v>-404.97500000000002</v>
          </cell>
        </row>
        <row r="551">
          <cell r="L551" t="str">
            <v>Petrol</v>
          </cell>
          <cell r="M551">
            <v>-83.737499999999997</v>
          </cell>
        </row>
        <row r="552">
          <cell r="L552" t="str">
            <v>Eating Out</v>
          </cell>
          <cell r="M552">
            <v>-22.129166666666666</v>
          </cell>
        </row>
        <row r="553">
          <cell r="L553" t="str">
            <v>Groceries</v>
          </cell>
          <cell r="M553">
            <v>-175.27916666666667</v>
          </cell>
        </row>
        <row r="554">
          <cell r="L554" t="str">
            <v>Dont Account For</v>
          </cell>
          <cell r="M554">
            <v>3750</v>
          </cell>
        </row>
        <row r="555">
          <cell r="L555" t="str">
            <v>Holiday</v>
          </cell>
          <cell r="M555">
            <v>-53.924999999999997</v>
          </cell>
        </row>
        <row r="556">
          <cell r="L556" t="str">
            <v>Dont Account For</v>
          </cell>
          <cell r="M556">
            <v>11041.666666666668</v>
          </cell>
        </row>
        <row r="557">
          <cell r="L557" t="str">
            <v>Bank Charges</v>
          </cell>
          <cell r="M557">
            <v>-370.30833333333334</v>
          </cell>
        </row>
        <row r="558">
          <cell r="L558" t="str">
            <v>Unknown</v>
          </cell>
          <cell r="M558">
            <v>-10.5</v>
          </cell>
        </row>
        <row r="559">
          <cell r="L559" t="str">
            <v>Dont Account For</v>
          </cell>
          <cell r="M559">
            <v>100</v>
          </cell>
        </row>
        <row r="560">
          <cell r="L560" t="str">
            <v>Dont Account For</v>
          </cell>
          <cell r="M560">
            <v>-100</v>
          </cell>
        </row>
        <row r="561">
          <cell r="L561" t="str">
            <v>Bank Charges</v>
          </cell>
          <cell r="M561">
            <v>-1.5</v>
          </cell>
        </row>
        <row r="562">
          <cell r="L562" t="str">
            <v>Medicare Refund</v>
          </cell>
          <cell r="M562">
            <v>103</v>
          </cell>
        </row>
        <row r="563">
          <cell r="L563" t="str">
            <v>Holiday</v>
          </cell>
          <cell r="M563">
            <v>-83.683333333333337</v>
          </cell>
        </row>
        <row r="564">
          <cell r="L564" t="str">
            <v>Holiday</v>
          </cell>
          <cell r="M564">
            <v>-65.750000000000014</v>
          </cell>
        </row>
        <row r="565">
          <cell r="L565" t="str">
            <v>Holiday</v>
          </cell>
          <cell r="M565">
            <v>-105.2</v>
          </cell>
        </row>
        <row r="566">
          <cell r="L566" t="str">
            <v>Holiday</v>
          </cell>
          <cell r="M566">
            <v>-70.525000000000006</v>
          </cell>
        </row>
        <row r="567">
          <cell r="L567" t="str">
            <v>Holiday</v>
          </cell>
          <cell r="M567">
            <v>-47.720833333333339</v>
          </cell>
        </row>
        <row r="568">
          <cell r="L568" t="str">
            <v>Holiday</v>
          </cell>
          <cell r="M568">
            <v>-96.879166666666663</v>
          </cell>
        </row>
        <row r="569">
          <cell r="L569" t="str">
            <v>Groceries</v>
          </cell>
          <cell r="M569">
            <v>-78.233333333333334</v>
          </cell>
        </row>
        <row r="570">
          <cell r="L570" t="str">
            <v>Dont Account For</v>
          </cell>
          <cell r="M570">
            <v>-10.416666666666668</v>
          </cell>
        </row>
        <row r="571">
          <cell r="L571" t="str">
            <v>Dont Account For</v>
          </cell>
          <cell r="M571">
            <v>-2.0833333333333335</v>
          </cell>
        </row>
        <row r="572">
          <cell r="L572" t="str">
            <v>Dont Account For</v>
          </cell>
          <cell r="M572">
            <v>-10.416666666666668</v>
          </cell>
        </row>
        <row r="573">
          <cell r="L573" t="str">
            <v>Dont Account For</v>
          </cell>
          <cell r="M573">
            <v>94.35</v>
          </cell>
        </row>
        <row r="574">
          <cell r="L574" t="str">
            <v>Unknown</v>
          </cell>
          <cell r="M574">
            <v>-35.950000000000003</v>
          </cell>
        </row>
        <row r="575">
          <cell r="L575" t="str">
            <v>Dont Account For</v>
          </cell>
          <cell r="M575">
            <v>-66.57083333333334</v>
          </cell>
        </row>
        <row r="576">
          <cell r="L576" t="str">
            <v>Activities</v>
          </cell>
          <cell r="M576">
            <v>-47.554166666666667</v>
          </cell>
        </row>
        <row r="577">
          <cell r="L577" t="str">
            <v>Regular Cost</v>
          </cell>
          <cell r="M577">
            <v>-356.67083333333335</v>
          </cell>
        </row>
        <row r="578">
          <cell r="L578" t="str">
            <v>Holiday</v>
          </cell>
          <cell r="M578">
            <v>-53.791666666666664</v>
          </cell>
        </row>
        <row r="579">
          <cell r="L579" t="str">
            <v>Wool</v>
          </cell>
          <cell r="M579">
            <v>-72.345833333333331</v>
          </cell>
        </row>
        <row r="580">
          <cell r="L580" t="str">
            <v>Eating Out</v>
          </cell>
          <cell r="M580">
            <v>-48.954166666666666</v>
          </cell>
        </row>
        <row r="581">
          <cell r="L581" t="str">
            <v>Holiday</v>
          </cell>
          <cell r="M581">
            <v>-54.258333333333333</v>
          </cell>
        </row>
        <row r="582">
          <cell r="L582" t="str">
            <v>Holiday</v>
          </cell>
          <cell r="M582">
            <v>-38.587499999999999</v>
          </cell>
        </row>
        <row r="583">
          <cell r="L583" t="str">
            <v>Dont Account For</v>
          </cell>
          <cell r="M583">
            <v>-254.42083333333335</v>
          </cell>
        </row>
        <row r="584">
          <cell r="L584" t="str">
            <v>Books, Videos, Magazines</v>
          </cell>
          <cell r="M584">
            <v>-48.737500000000004</v>
          </cell>
        </row>
        <row r="585">
          <cell r="L585" t="str">
            <v>Dont Account For</v>
          </cell>
          <cell r="M585">
            <v>-30.145833333333332</v>
          </cell>
        </row>
        <row r="586">
          <cell r="L586" t="str">
            <v>Dont Account For</v>
          </cell>
          <cell r="M586">
            <v>-30.145833333333332</v>
          </cell>
        </row>
        <row r="587">
          <cell r="L587" t="str">
            <v>Eating Out</v>
          </cell>
          <cell r="M587">
            <v>-46.545833333333334</v>
          </cell>
        </row>
        <row r="588">
          <cell r="L588" t="str">
            <v>Dont Account For</v>
          </cell>
          <cell r="M588">
            <v>-40</v>
          </cell>
        </row>
        <row r="589">
          <cell r="L589" t="str">
            <v>Cinema</v>
          </cell>
          <cell r="M589">
            <v>-10</v>
          </cell>
        </row>
        <row r="590">
          <cell r="L590" t="str">
            <v>Holiday</v>
          </cell>
          <cell r="M590">
            <v>-45</v>
          </cell>
        </row>
        <row r="591">
          <cell r="L591" t="str">
            <v>Dont Account For</v>
          </cell>
          <cell r="M591">
            <v>41.666666666666671</v>
          </cell>
        </row>
        <row r="592">
          <cell r="L592" t="str">
            <v>Dont Account For</v>
          </cell>
          <cell r="M592">
            <v>41.666666666666671</v>
          </cell>
        </row>
        <row r="593">
          <cell r="L593" t="str">
            <v>Dont Account For</v>
          </cell>
          <cell r="M593">
            <v>41.666666666666671</v>
          </cell>
        </row>
        <row r="594">
          <cell r="L594" t="str">
            <v>Dont Account For</v>
          </cell>
          <cell r="M594">
            <v>41.666666666666671</v>
          </cell>
        </row>
        <row r="595">
          <cell r="L595" t="str">
            <v>Gifts</v>
          </cell>
          <cell r="M595">
            <v>-13.95</v>
          </cell>
        </row>
        <row r="596">
          <cell r="L596" t="str">
            <v>Holiday</v>
          </cell>
          <cell r="M596">
            <v>-19.141666666666666</v>
          </cell>
        </row>
        <row r="597">
          <cell r="L597" t="str">
            <v>Eating Out</v>
          </cell>
          <cell r="M597">
            <v>-9.0666666666666682</v>
          </cell>
        </row>
        <row r="598">
          <cell r="L598" t="str">
            <v>Regular Cost</v>
          </cell>
          <cell r="M598">
            <v>-237.12083333333337</v>
          </cell>
        </row>
        <row r="599">
          <cell r="L599" t="str">
            <v>Eating Out</v>
          </cell>
          <cell r="M599">
            <v>-40.866666666666667</v>
          </cell>
        </row>
        <row r="600">
          <cell r="L600" t="str">
            <v>Minerva WaterSewage</v>
          </cell>
          <cell r="M600">
            <v>-126.44166666666666</v>
          </cell>
        </row>
        <row r="601">
          <cell r="L601" t="str">
            <v>Groceries</v>
          </cell>
          <cell r="M601">
            <v>-212.14583333333334</v>
          </cell>
        </row>
        <row r="602">
          <cell r="L602" t="str">
            <v>Cinema</v>
          </cell>
          <cell r="M602">
            <v>-20.375</v>
          </cell>
        </row>
        <row r="603">
          <cell r="L603" t="str">
            <v>Holiday</v>
          </cell>
          <cell r="M603">
            <v>-575.9666666666667</v>
          </cell>
        </row>
        <row r="604">
          <cell r="L604" t="str">
            <v>Dont Account For</v>
          </cell>
          <cell r="M604">
            <v>-22.916666666666668</v>
          </cell>
        </row>
        <row r="605">
          <cell r="L605" t="str">
            <v>Clothing</v>
          </cell>
          <cell r="M605">
            <v>-76.662500000000009</v>
          </cell>
        </row>
        <row r="606">
          <cell r="L606" t="str">
            <v>Regular Cost</v>
          </cell>
          <cell r="M606">
            <v>-5753.2250000000004</v>
          </cell>
        </row>
        <row r="607">
          <cell r="L607" t="str">
            <v>Chemist</v>
          </cell>
          <cell r="M607">
            <v>-41.104166666666671</v>
          </cell>
        </row>
        <row r="608">
          <cell r="L608" t="str">
            <v>Eating Out</v>
          </cell>
          <cell r="M608">
            <v>-43.4</v>
          </cell>
        </row>
        <row r="609">
          <cell r="L609" t="str">
            <v>Regular Cost</v>
          </cell>
          <cell r="M609">
            <v>-88.458333333333343</v>
          </cell>
        </row>
        <row r="610">
          <cell r="L610" t="str">
            <v>Unknown</v>
          </cell>
          <cell r="M610">
            <v>-6.15</v>
          </cell>
        </row>
        <row r="611">
          <cell r="L611" t="str">
            <v>Groceries</v>
          </cell>
          <cell r="M611">
            <v>-35.200000000000003</v>
          </cell>
        </row>
        <row r="612">
          <cell r="L612" t="str">
            <v>Dont Account For</v>
          </cell>
          <cell r="M612">
            <v>-53.333333333333336</v>
          </cell>
        </row>
        <row r="613">
          <cell r="L613" t="str">
            <v>Dont Account For</v>
          </cell>
          <cell r="M613">
            <v>-13</v>
          </cell>
        </row>
        <row r="614">
          <cell r="L614" t="str">
            <v>Wool</v>
          </cell>
          <cell r="M614">
            <v>-13</v>
          </cell>
        </row>
        <row r="615">
          <cell r="L615" t="str">
            <v>Dont Account For</v>
          </cell>
          <cell r="M615">
            <v>-22.916666666666668</v>
          </cell>
        </row>
        <row r="616">
          <cell r="L616" t="str">
            <v>VOIP</v>
          </cell>
          <cell r="M616">
            <v>-66.45</v>
          </cell>
        </row>
        <row r="617">
          <cell r="L617" t="str">
            <v>Computer Software</v>
          </cell>
          <cell r="M617">
            <v>-19.329166666666669</v>
          </cell>
        </row>
        <row r="618">
          <cell r="L618" t="str">
            <v>Dont Account For</v>
          </cell>
          <cell r="M618">
            <v>41.666666666666671</v>
          </cell>
        </row>
        <row r="619">
          <cell r="L619" t="str">
            <v>Unknown</v>
          </cell>
          <cell r="M619">
            <v>-100</v>
          </cell>
        </row>
        <row r="620">
          <cell r="L620" t="str">
            <v>Dont Account For</v>
          </cell>
          <cell r="M620">
            <v>-38</v>
          </cell>
        </row>
        <row r="621">
          <cell r="L621" t="str">
            <v>Dont Account For</v>
          </cell>
          <cell r="M621">
            <v>-40</v>
          </cell>
        </row>
        <row r="622">
          <cell r="L622" t="str">
            <v>Dont Account For</v>
          </cell>
          <cell r="M622">
            <v>100</v>
          </cell>
        </row>
        <row r="623">
          <cell r="L623" t="str">
            <v>Dont Account For</v>
          </cell>
          <cell r="M623">
            <v>-54.216666666666669</v>
          </cell>
        </row>
        <row r="624">
          <cell r="L624" t="str">
            <v>Department Store</v>
          </cell>
          <cell r="M624">
            <v>-152.04166666666666</v>
          </cell>
        </row>
        <row r="625">
          <cell r="L625" t="str">
            <v>Dont Account For</v>
          </cell>
          <cell r="M625">
            <v>-20.833333333333336</v>
          </cell>
        </row>
        <row r="626">
          <cell r="L626" t="str">
            <v>Clothing</v>
          </cell>
          <cell r="M626">
            <v>-299.62916666666666</v>
          </cell>
        </row>
        <row r="627">
          <cell r="L627" t="str">
            <v>Dont Account For</v>
          </cell>
          <cell r="M627">
            <v>-182.22916666666669</v>
          </cell>
        </row>
        <row r="628">
          <cell r="L628" t="str">
            <v>Optus Mobile</v>
          </cell>
          <cell r="M628">
            <v>-357.52499999999998</v>
          </cell>
        </row>
        <row r="629">
          <cell r="L629" t="str">
            <v>School Books</v>
          </cell>
          <cell r="M629">
            <v>-29.387500000000003</v>
          </cell>
        </row>
        <row r="630">
          <cell r="L630" t="str">
            <v>Unknown</v>
          </cell>
          <cell r="M630">
            <v>-19.975000000000001</v>
          </cell>
        </row>
        <row r="631">
          <cell r="L631" t="str">
            <v>Uniforms</v>
          </cell>
          <cell r="M631">
            <v>-37.5</v>
          </cell>
        </row>
        <row r="632">
          <cell r="L632" t="str">
            <v>Dont Account For</v>
          </cell>
          <cell r="M632">
            <v>-162.375</v>
          </cell>
        </row>
        <row r="633">
          <cell r="L633" t="str">
            <v>Dont Account For</v>
          </cell>
          <cell r="M633">
            <v>166.66666666666669</v>
          </cell>
        </row>
        <row r="634">
          <cell r="L634" t="str">
            <v>Dont Account For</v>
          </cell>
          <cell r="M634">
            <v>41.666666666666671</v>
          </cell>
        </row>
        <row r="635">
          <cell r="L635" t="str">
            <v>Dont Account For</v>
          </cell>
          <cell r="M635">
            <v>54.166666666666671</v>
          </cell>
        </row>
        <row r="636">
          <cell r="L636" t="str">
            <v>Dont Account For</v>
          </cell>
          <cell r="M636">
            <v>25.320833333333336</v>
          </cell>
        </row>
        <row r="637">
          <cell r="L637" t="str">
            <v>Petrol</v>
          </cell>
          <cell r="M637">
            <v>-53.325000000000003</v>
          </cell>
        </row>
        <row r="638">
          <cell r="L638" t="str">
            <v>Optus Home Phone</v>
          </cell>
          <cell r="M638">
            <v>-139.80416666666667</v>
          </cell>
        </row>
        <row r="639">
          <cell r="L639" t="str">
            <v>Department Store</v>
          </cell>
          <cell r="M639">
            <v>-98.737499999999997</v>
          </cell>
        </row>
        <row r="640">
          <cell r="L640" t="str">
            <v>Dont Account For</v>
          </cell>
          <cell r="M640">
            <v>-6.25</v>
          </cell>
        </row>
        <row r="641">
          <cell r="L641" t="str">
            <v>Dont Account For</v>
          </cell>
          <cell r="M641">
            <v>-8.3333333333333339</v>
          </cell>
        </row>
        <row r="642">
          <cell r="L642" t="str">
            <v>Eating Out</v>
          </cell>
          <cell r="M642">
            <v>-16.666666666666668</v>
          </cell>
        </row>
        <row r="643">
          <cell r="L643" t="str">
            <v>Regular Cost</v>
          </cell>
          <cell r="M643">
            <v>-29.383333333333333</v>
          </cell>
        </row>
        <row r="644">
          <cell r="L644" t="str">
            <v>Dont Account For</v>
          </cell>
          <cell r="M644">
            <v>-193.75</v>
          </cell>
        </row>
        <row r="645">
          <cell r="L645" t="str">
            <v>Dont Account For</v>
          </cell>
          <cell r="M645">
            <v>-2.0833333333333335</v>
          </cell>
        </row>
        <row r="646">
          <cell r="L646" t="str">
            <v>Dont Account For</v>
          </cell>
          <cell r="M646">
            <v>-50</v>
          </cell>
        </row>
        <row r="647">
          <cell r="L647" t="str">
            <v>Dont Account For</v>
          </cell>
          <cell r="M647">
            <v>-6.25</v>
          </cell>
        </row>
        <row r="648">
          <cell r="L648" t="str">
            <v>Dont Account For</v>
          </cell>
          <cell r="M648">
            <v>-8.3333333333333339</v>
          </cell>
        </row>
        <row r="649">
          <cell r="L649" t="str">
            <v>Unknown</v>
          </cell>
          <cell r="M649">
            <v>-6.25</v>
          </cell>
        </row>
        <row r="650">
          <cell r="L650" t="str">
            <v>Eating Out</v>
          </cell>
          <cell r="M650">
            <v>-12.5</v>
          </cell>
        </row>
        <row r="651">
          <cell r="L651" t="str">
            <v>Wool</v>
          </cell>
          <cell r="M651">
            <v>-83.333333333333343</v>
          </cell>
        </row>
        <row r="652">
          <cell r="L652" t="str">
            <v>Dont Account For</v>
          </cell>
          <cell r="M652">
            <v>-16.666666666666668</v>
          </cell>
        </row>
        <row r="653">
          <cell r="L653" t="str">
            <v>Dont Account For</v>
          </cell>
          <cell r="M653">
            <v>-10.416666666666668</v>
          </cell>
        </row>
        <row r="654">
          <cell r="L654" t="str">
            <v>Dont Account For</v>
          </cell>
          <cell r="M654">
            <v>-112.5</v>
          </cell>
        </row>
        <row r="655">
          <cell r="L655" t="str">
            <v>Dont Account For</v>
          </cell>
          <cell r="M655">
            <v>-17.5</v>
          </cell>
        </row>
        <row r="656">
          <cell r="L656" t="str">
            <v>Dont Account For</v>
          </cell>
          <cell r="M656">
            <v>-73.333333333333343</v>
          </cell>
        </row>
        <row r="657">
          <cell r="L657" t="str">
            <v>Dont Account For</v>
          </cell>
          <cell r="M657">
            <v>-27.083333333333336</v>
          </cell>
        </row>
        <row r="658">
          <cell r="L658" t="str">
            <v>Dont Account For</v>
          </cell>
          <cell r="M658">
            <v>-18.75</v>
          </cell>
        </row>
        <row r="659">
          <cell r="L659" t="str">
            <v>Dont Account For</v>
          </cell>
          <cell r="M659">
            <v>-16.666666666666668</v>
          </cell>
        </row>
        <row r="660">
          <cell r="L660" t="str">
            <v>Dont Account For</v>
          </cell>
          <cell r="M660">
            <v>-62.5</v>
          </cell>
        </row>
        <row r="661">
          <cell r="L661" t="str">
            <v>Unknown</v>
          </cell>
          <cell r="M661">
            <v>-22.916666666666668</v>
          </cell>
        </row>
        <row r="662">
          <cell r="L662" t="str">
            <v>Dont Account For</v>
          </cell>
          <cell r="M662">
            <v>-52.5</v>
          </cell>
        </row>
        <row r="663">
          <cell r="L663" t="str">
            <v>Dont Account For</v>
          </cell>
          <cell r="M663">
            <v>-45.833333333333336</v>
          </cell>
        </row>
        <row r="664">
          <cell r="L664" t="str">
            <v>Dont Account For</v>
          </cell>
          <cell r="M664">
            <v>-70.416666666666671</v>
          </cell>
        </row>
        <row r="665">
          <cell r="L665" t="str">
            <v>Dont Account For</v>
          </cell>
          <cell r="M665">
            <v>-47.083333333333336</v>
          </cell>
        </row>
        <row r="666">
          <cell r="L666" t="str">
            <v>Dont Account For</v>
          </cell>
          <cell r="M666">
            <v>-112.5</v>
          </cell>
        </row>
        <row r="667">
          <cell r="L667" t="str">
            <v>Dont Account For</v>
          </cell>
          <cell r="M667">
            <v>-18.645833333333336</v>
          </cell>
        </row>
        <row r="668">
          <cell r="L668" t="str">
            <v>Dont Account For</v>
          </cell>
          <cell r="M668">
            <v>-50</v>
          </cell>
        </row>
        <row r="669">
          <cell r="L669" t="str">
            <v>Dont Account For</v>
          </cell>
          <cell r="M669">
            <v>-354.16666666666669</v>
          </cell>
        </row>
        <row r="670">
          <cell r="L670" t="str">
            <v>Dont Account For</v>
          </cell>
          <cell r="M670">
            <v>-33.333333333333336</v>
          </cell>
        </row>
        <row r="671">
          <cell r="L671" t="str">
            <v>Dont Account For</v>
          </cell>
          <cell r="M671">
            <v>-60</v>
          </cell>
        </row>
        <row r="672">
          <cell r="L672" t="str">
            <v>Dont Account For</v>
          </cell>
          <cell r="M672">
            <v>-70.416666666666671</v>
          </cell>
        </row>
        <row r="673">
          <cell r="L673" t="str">
            <v>Dont Account For</v>
          </cell>
          <cell r="M673">
            <v>-95.833333333333343</v>
          </cell>
        </row>
        <row r="674">
          <cell r="L674" t="str">
            <v>Dont Account For</v>
          </cell>
          <cell r="M674">
            <v>-103.33333333333334</v>
          </cell>
        </row>
        <row r="675">
          <cell r="L675" t="str">
            <v>Dont Account For</v>
          </cell>
          <cell r="M675">
            <v>-42.916666666666671</v>
          </cell>
        </row>
        <row r="676">
          <cell r="L676" t="str">
            <v>Dont Account For</v>
          </cell>
          <cell r="M676">
            <v>-22.083333333333336</v>
          </cell>
        </row>
        <row r="677">
          <cell r="L677" t="str">
            <v>Dont Account For</v>
          </cell>
          <cell r="M677">
            <v>-14.583333333333334</v>
          </cell>
        </row>
        <row r="678">
          <cell r="L678" t="str">
            <v>Dont Account For</v>
          </cell>
          <cell r="M678">
            <v>-83.333333333333343</v>
          </cell>
        </row>
        <row r="679">
          <cell r="L679" t="str">
            <v>Regular Cost</v>
          </cell>
          <cell r="M679">
            <v>-26.533333333333335</v>
          </cell>
        </row>
        <row r="680">
          <cell r="L680" t="str">
            <v>Dont Account For</v>
          </cell>
          <cell r="M680">
            <v>-28.000000000000004</v>
          </cell>
        </row>
        <row r="681">
          <cell r="L681" t="str">
            <v>Dont Account For</v>
          </cell>
          <cell r="M681">
            <v>-77.5</v>
          </cell>
        </row>
        <row r="682">
          <cell r="L682" t="str">
            <v>Dont Account For</v>
          </cell>
          <cell r="M682">
            <v>-16.666666666666668</v>
          </cell>
        </row>
        <row r="683">
          <cell r="L683" t="str">
            <v>Eating Out</v>
          </cell>
          <cell r="M683">
            <v>-12.5</v>
          </cell>
        </row>
        <row r="684">
          <cell r="L684" t="str">
            <v>Dont Account For</v>
          </cell>
          <cell r="M684">
            <v>-35.416666666666671</v>
          </cell>
        </row>
        <row r="685">
          <cell r="L685" t="str">
            <v>Holiday</v>
          </cell>
          <cell r="M685">
            <v>-82.337500000000006</v>
          </cell>
        </row>
        <row r="686">
          <cell r="L686" t="str">
            <v>Holiday</v>
          </cell>
          <cell r="M686">
            <v>-32.516666666666673</v>
          </cell>
        </row>
        <row r="687">
          <cell r="L687" t="str">
            <v>Gifts</v>
          </cell>
          <cell r="M687">
            <v>-31.212499999999999</v>
          </cell>
        </row>
        <row r="688">
          <cell r="L688" t="str">
            <v>Holiday</v>
          </cell>
          <cell r="M688">
            <v>-28.237500000000001</v>
          </cell>
        </row>
        <row r="689">
          <cell r="L689" t="str">
            <v>Holiday</v>
          </cell>
          <cell r="M689">
            <v>-27.495833333333334</v>
          </cell>
        </row>
        <row r="690">
          <cell r="L690" t="str">
            <v>Holiday</v>
          </cell>
          <cell r="M690">
            <v>-89.141666666666666</v>
          </cell>
        </row>
        <row r="691">
          <cell r="L691" t="str">
            <v>Holiday</v>
          </cell>
          <cell r="M691">
            <v>-310.125</v>
          </cell>
        </row>
        <row r="692">
          <cell r="L692" t="str">
            <v>Dont Account For</v>
          </cell>
          <cell r="M692">
            <v>-22.916666666666668</v>
          </cell>
        </row>
        <row r="693">
          <cell r="L693" t="str">
            <v>Dont Account For</v>
          </cell>
          <cell r="M693">
            <v>-7.916666666666667</v>
          </cell>
        </row>
        <row r="694">
          <cell r="L694" t="str">
            <v>Dont Account For</v>
          </cell>
          <cell r="M694">
            <v>125</v>
          </cell>
        </row>
        <row r="695">
          <cell r="L695" t="str">
            <v>Bank Charges</v>
          </cell>
          <cell r="M695">
            <v>-0.83333333333333337</v>
          </cell>
        </row>
        <row r="696">
          <cell r="L696" t="str">
            <v>Dont Account For</v>
          </cell>
          <cell r="M696">
            <v>-26.666666666666668</v>
          </cell>
        </row>
        <row r="697">
          <cell r="L697" t="str">
            <v>Dont Account For</v>
          </cell>
          <cell r="M697">
            <v>-79.166666666666671</v>
          </cell>
        </row>
        <row r="698">
          <cell r="L698" t="str">
            <v>Dont Account For</v>
          </cell>
          <cell r="M698">
            <v>-42.625</v>
          </cell>
        </row>
        <row r="699">
          <cell r="L699" t="str">
            <v>Dont Account For</v>
          </cell>
          <cell r="M699">
            <v>-177.5</v>
          </cell>
        </row>
        <row r="700">
          <cell r="L700" t="str">
            <v>Dont Account For</v>
          </cell>
          <cell r="M700">
            <v>-22.916666666666668</v>
          </cell>
        </row>
        <row r="701">
          <cell r="L701" t="str">
            <v>Dont Account For</v>
          </cell>
          <cell r="M701">
            <v>125</v>
          </cell>
        </row>
        <row r="702">
          <cell r="L702" t="str">
            <v>Dont Account For</v>
          </cell>
          <cell r="M702">
            <v>41.666666666666671</v>
          </cell>
        </row>
        <row r="703">
          <cell r="L703" t="str">
            <v>Dont Account For</v>
          </cell>
          <cell r="M703">
            <v>-32.083333333333336</v>
          </cell>
        </row>
        <row r="704">
          <cell r="L704" t="str">
            <v>Dont Account For</v>
          </cell>
          <cell r="M704">
            <v>-58.75</v>
          </cell>
        </row>
        <row r="705">
          <cell r="L705" t="str">
            <v>Dont Account For</v>
          </cell>
          <cell r="M705">
            <v>-38.458333333333336</v>
          </cell>
        </row>
        <row r="706">
          <cell r="L706" t="str">
            <v>Dont Account For</v>
          </cell>
          <cell r="M706">
            <v>-100</v>
          </cell>
        </row>
        <row r="707">
          <cell r="L707" t="str">
            <v>Dont Account For</v>
          </cell>
          <cell r="M707">
            <v>0</v>
          </cell>
        </row>
        <row r="708">
          <cell r="L708" t="str">
            <v>Dont Account For</v>
          </cell>
          <cell r="M708">
            <v>1177.55</v>
          </cell>
        </row>
        <row r="709">
          <cell r="L709" t="str">
            <v>Dont Account For</v>
          </cell>
          <cell r="M709">
            <v>275.87916666666666</v>
          </cell>
        </row>
        <row r="710">
          <cell r="L710" t="str">
            <v>Dont Account For</v>
          </cell>
          <cell r="M710">
            <v>-66.666666666666671</v>
          </cell>
        </row>
        <row r="711">
          <cell r="L711" t="str">
            <v>Clothing</v>
          </cell>
          <cell r="M711">
            <v>-66.666666666666671</v>
          </cell>
        </row>
        <row r="712">
          <cell r="L712" t="str">
            <v>Dont Account For</v>
          </cell>
          <cell r="M712">
            <v>-12.5</v>
          </cell>
        </row>
        <row r="713">
          <cell r="L713" t="str">
            <v>Dont Account For</v>
          </cell>
          <cell r="M713">
            <v>-20.833333333333336</v>
          </cell>
        </row>
        <row r="714">
          <cell r="L714" t="str">
            <v>Dont Account For</v>
          </cell>
          <cell r="M714">
            <v>27.083333333333336</v>
          </cell>
        </row>
        <row r="715">
          <cell r="L715" t="str">
            <v>Dont Account For</v>
          </cell>
          <cell r="M715">
            <v>-18.75</v>
          </cell>
        </row>
        <row r="716">
          <cell r="L716" t="str">
            <v>Dont Account For</v>
          </cell>
          <cell r="M716">
            <v>-40</v>
          </cell>
        </row>
        <row r="717">
          <cell r="L717" t="str">
            <v>Dont Account For</v>
          </cell>
          <cell r="M717">
            <v>-21.31</v>
          </cell>
        </row>
        <row r="718">
          <cell r="L718" t="str">
            <v>Dont Account For</v>
          </cell>
          <cell r="M718">
            <v>-25</v>
          </cell>
        </row>
        <row r="719">
          <cell r="L719" t="str">
            <v>Dont Account For</v>
          </cell>
          <cell r="M719">
            <v>-67.708333333333343</v>
          </cell>
        </row>
        <row r="720">
          <cell r="L720" t="str">
            <v>Dont Account For</v>
          </cell>
          <cell r="M720">
            <v>-79.583333333333343</v>
          </cell>
        </row>
        <row r="721">
          <cell r="L721" t="str">
            <v>Dont Account For</v>
          </cell>
          <cell r="M721">
            <v>-125</v>
          </cell>
        </row>
        <row r="722">
          <cell r="L722" t="str">
            <v>Dont Account For</v>
          </cell>
          <cell r="M722">
            <v>-40.833333333333336</v>
          </cell>
        </row>
        <row r="723">
          <cell r="L723" t="str">
            <v>Dont Account For</v>
          </cell>
          <cell r="M723">
            <v>-6.4958333333333336</v>
          </cell>
        </row>
        <row r="724">
          <cell r="L724" t="str">
            <v>Regular Cost</v>
          </cell>
          <cell r="M724">
            <v>-114.0125</v>
          </cell>
        </row>
        <row r="725">
          <cell r="L725" t="str">
            <v>Unknown</v>
          </cell>
          <cell r="M725">
            <v>-4.6916666666666664</v>
          </cell>
        </row>
        <row r="726">
          <cell r="L726" t="str">
            <v>Dont Account For</v>
          </cell>
          <cell r="M726">
            <v>188.75</v>
          </cell>
        </row>
        <row r="727">
          <cell r="L727" t="str">
            <v>Groceries</v>
          </cell>
          <cell r="M727">
            <v>-10</v>
          </cell>
        </row>
        <row r="728">
          <cell r="L728" t="str">
            <v>Dont Account For</v>
          </cell>
          <cell r="M728">
            <v>-66.666666666666671</v>
          </cell>
        </row>
        <row r="729">
          <cell r="L729" t="str">
            <v>Dont Account For</v>
          </cell>
          <cell r="M729">
            <v>-85</v>
          </cell>
        </row>
        <row r="730">
          <cell r="L730" t="str">
            <v>Dont Account For</v>
          </cell>
          <cell r="M730">
            <v>208.33333333333334</v>
          </cell>
        </row>
        <row r="731">
          <cell r="L731" t="str">
            <v>Dont Account For</v>
          </cell>
          <cell r="M731">
            <v>85</v>
          </cell>
        </row>
        <row r="732">
          <cell r="L732" t="str">
            <v>Bank Charges</v>
          </cell>
          <cell r="M732">
            <v>-0.83333333333333337</v>
          </cell>
        </row>
        <row r="733">
          <cell r="L733" t="str">
            <v>Dont Account For</v>
          </cell>
          <cell r="M733">
            <v>-16.666666666666668</v>
          </cell>
        </row>
        <row r="734">
          <cell r="L734" t="str">
            <v>Bank Charges</v>
          </cell>
          <cell r="M734">
            <v>-4.2</v>
          </cell>
        </row>
        <row r="735">
          <cell r="L735" t="str">
            <v>Dont Account For</v>
          </cell>
          <cell r="M735">
            <v>0.49</v>
          </cell>
        </row>
        <row r="736">
          <cell r="L736" t="str">
            <v>Dont Account For</v>
          </cell>
          <cell r="M736">
            <v>-15.5</v>
          </cell>
        </row>
        <row r="737">
          <cell r="L737" t="str">
            <v>Dont Account For</v>
          </cell>
          <cell r="M737">
            <v>-33.333333333333336</v>
          </cell>
        </row>
        <row r="738">
          <cell r="L738" t="str">
            <v>Dont Account For</v>
          </cell>
          <cell r="M738">
            <v>-20</v>
          </cell>
        </row>
        <row r="739">
          <cell r="L739" t="str">
            <v>Minerva Rent</v>
          </cell>
          <cell r="M739">
            <v>0</v>
          </cell>
        </row>
        <row r="740">
          <cell r="L740" t="str">
            <v>Minerva Rent</v>
          </cell>
          <cell r="M740">
            <v>1382.35</v>
          </cell>
        </row>
        <row r="741">
          <cell r="L741" t="str">
            <v>Minerva Rent</v>
          </cell>
          <cell r="M741">
            <v>1411.76</v>
          </cell>
        </row>
        <row r="742">
          <cell r="L742" t="str">
            <v>Minerva Agent</v>
          </cell>
          <cell r="M742">
            <v>-216.91</v>
          </cell>
        </row>
        <row r="743">
          <cell r="L743" t="str">
            <v>Minerva Agent</v>
          </cell>
          <cell r="M743">
            <v>-21.71</v>
          </cell>
        </row>
        <row r="744">
          <cell r="L744" t="str">
            <v>Minerva Maintenance</v>
          </cell>
          <cell r="M744">
            <v>-133.97</v>
          </cell>
        </row>
        <row r="745">
          <cell r="L745" t="str">
            <v>Minerva Agent</v>
          </cell>
          <cell r="M745">
            <v>-13.38</v>
          </cell>
        </row>
        <row r="746">
          <cell r="L746" t="str">
            <v>Bank Charges</v>
          </cell>
          <cell r="M746">
            <v>-5</v>
          </cell>
        </row>
        <row r="747">
          <cell r="L747" t="str">
            <v>Regular Cost</v>
          </cell>
          <cell r="M747">
            <v>-167.95</v>
          </cell>
        </row>
        <row r="748">
          <cell r="L748" t="str">
            <v>Bank Charges</v>
          </cell>
          <cell r="M748">
            <v>-2</v>
          </cell>
        </row>
        <row r="749">
          <cell r="L749" t="str">
            <v>Dont Account For</v>
          </cell>
          <cell r="M749">
            <v>210.83333333333334</v>
          </cell>
        </row>
        <row r="750">
          <cell r="L750" t="str">
            <v>Unknown</v>
          </cell>
          <cell r="M750">
            <v>-115.5</v>
          </cell>
        </row>
        <row r="751">
          <cell r="L751" t="str">
            <v>Dont Account For</v>
          </cell>
          <cell r="M751">
            <v>-17.5</v>
          </cell>
        </row>
        <row r="752">
          <cell r="L752" t="str">
            <v>Dont Account For</v>
          </cell>
          <cell r="M752">
            <v>-151.70833333333334</v>
          </cell>
        </row>
        <row r="753">
          <cell r="L753" t="str">
            <v>Dont Account For</v>
          </cell>
          <cell r="M753">
            <v>-41.25</v>
          </cell>
        </row>
        <row r="754">
          <cell r="L754" t="str">
            <v>Dont Account For</v>
          </cell>
          <cell r="M754">
            <v>41.666666666666671</v>
          </cell>
        </row>
        <row r="755">
          <cell r="L755" t="str">
            <v>Car Maintenance</v>
          </cell>
          <cell r="M755">
            <v>-8</v>
          </cell>
        </row>
        <row r="756">
          <cell r="L756" t="str">
            <v>Unknown</v>
          </cell>
          <cell r="M756">
            <v>-50</v>
          </cell>
        </row>
        <row r="757">
          <cell r="L757" t="str">
            <v>Unknown</v>
          </cell>
          <cell r="M757">
            <v>-171</v>
          </cell>
        </row>
        <row r="758">
          <cell r="L758" t="str">
            <v>Dont Account For</v>
          </cell>
          <cell r="M758">
            <v>50</v>
          </cell>
        </row>
        <row r="759">
          <cell r="L759" t="str">
            <v>Dont Account For</v>
          </cell>
          <cell r="M759">
            <v>171</v>
          </cell>
        </row>
        <row r="760">
          <cell r="L760" t="str">
            <v>Dont Account For</v>
          </cell>
          <cell r="M760">
            <v>8333.3333333333339</v>
          </cell>
        </row>
        <row r="761">
          <cell r="L761" t="str">
            <v>Dont Account For</v>
          </cell>
          <cell r="M761">
            <v>4166.666666666667</v>
          </cell>
        </row>
        <row r="762">
          <cell r="L762" t="str">
            <v>Regular Cost</v>
          </cell>
          <cell r="M762">
            <v>-58.275000000000006</v>
          </cell>
        </row>
        <row r="763">
          <cell r="L763" t="str">
            <v>Dont Account For</v>
          </cell>
          <cell r="M763">
            <v>-20.833333333333336</v>
          </cell>
        </row>
        <row r="764">
          <cell r="L764" t="str">
            <v>Unknown</v>
          </cell>
          <cell r="M764">
            <v>-171</v>
          </cell>
        </row>
        <row r="765">
          <cell r="L765" t="str">
            <v>Dont Account For</v>
          </cell>
          <cell r="M765">
            <v>-41.666666666666671</v>
          </cell>
        </row>
        <row r="766">
          <cell r="L766" t="str">
            <v>Dont Account For</v>
          </cell>
          <cell r="M766">
            <v>-375</v>
          </cell>
        </row>
        <row r="767">
          <cell r="L767" t="str">
            <v>Dont Account For</v>
          </cell>
          <cell r="M767">
            <v>-25</v>
          </cell>
        </row>
        <row r="768">
          <cell r="L768" t="str">
            <v>Dont Account For</v>
          </cell>
          <cell r="M768">
            <v>-41.666666666666671</v>
          </cell>
        </row>
        <row r="769">
          <cell r="L769" t="str">
            <v>Eating Out</v>
          </cell>
          <cell r="M769">
            <v>-25.412500000000001</v>
          </cell>
        </row>
        <row r="770">
          <cell r="L770" t="str">
            <v>Groceries</v>
          </cell>
          <cell r="M770">
            <v>-119.70833333333334</v>
          </cell>
        </row>
        <row r="771">
          <cell r="L771" t="str">
            <v>Groceries</v>
          </cell>
          <cell r="M771">
            <v>-217.04583333333332</v>
          </cell>
        </row>
        <row r="772">
          <cell r="L772" t="str">
            <v>Holiday</v>
          </cell>
          <cell r="M772">
            <v>-286.91250000000002</v>
          </cell>
        </row>
        <row r="773">
          <cell r="L773" t="str">
            <v>Dont Account For</v>
          </cell>
          <cell r="M773">
            <v>-25</v>
          </cell>
        </row>
        <row r="774">
          <cell r="L774" t="str">
            <v>Bank Charges</v>
          </cell>
          <cell r="M774">
            <v>-140.92916666666667</v>
          </cell>
        </row>
        <row r="775">
          <cell r="L775" t="str">
            <v>Dont Account For</v>
          </cell>
          <cell r="M775">
            <v>-110</v>
          </cell>
        </row>
        <row r="776">
          <cell r="L776" t="str">
            <v>Dont Account For</v>
          </cell>
          <cell r="M776">
            <v>-39.583333333333336</v>
          </cell>
        </row>
        <row r="777">
          <cell r="L777" t="str">
            <v>Dont Account For</v>
          </cell>
          <cell r="M777">
            <v>-6.25</v>
          </cell>
        </row>
        <row r="778">
          <cell r="L778" t="str">
            <v>Dont Account For</v>
          </cell>
          <cell r="M778">
            <v>739.58333333333337</v>
          </cell>
        </row>
        <row r="779">
          <cell r="L779" t="str">
            <v>Dont Account For</v>
          </cell>
          <cell r="M779">
            <v>-25</v>
          </cell>
        </row>
        <row r="780">
          <cell r="L780" t="str">
            <v>Dont Account For</v>
          </cell>
          <cell r="M780">
            <v>-24.583333333333336</v>
          </cell>
        </row>
        <row r="781">
          <cell r="L781" t="str">
            <v>Dont Account For</v>
          </cell>
          <cell r="M781">
            <v>3467.5041666666671</v>
          </cell>
        </row>
        <row r="782">
          <cell r="L782" t="str">
            <v>Groceries</v>
          </cell>
          <cell r="M782">
            <v>-103.5</v>
          </cell>
        </row>
        <row r="783">
          <cell r="L783" t="str">
            <v>Groceries</v>
          </cell>
          <cell r="M783">
            <v>-67.525000000000006</v>
          </cell>
        </row>
        <row r="784">
          <cell r="L784" t="str">
            <v>Gifts</v>
          </cell>
          <cell r="M784">
            <v>-18.629166666666666</v>
          </cell>
        </row>
        <row r="785">
          <cell r="L785" t="str">
            <v>Dont Account For</v>
          </cell>
          <cell r="M785">
            <v>41.666666666666671</v>
          </cell>
        </row>
        <row r="786">
          <cell r="L786" t="str">
            <v>Dont Account For</v>
          </cell>
          <cell r="M786">
            <v>41.666666666666671</v>
          </cell>
        </row>
        <row r="787">
          <cell r="L787" t="str">
            <v>Dont Account For</v>
          </cell>
          <cell r="M787">
            <v>41.666666666666671</v>
          </cell>
        </row>
        <row r="788">
          <cell r="L788" t="str">
            <v>Dont Account For</v>
          </cell>
          <cell r="M788">
            <v>41.666666666666671</v>
          </cell>
        </row>
        <row r="789">
          <cell r="L789" t="str">
            <v>Unknown</v>
          </cell>
          <cell r="M789">
            <v>-50</v>
          </cell>
        </row>
        <row r="790">
          <cell r="L790" t="str">
            <v>Bank Charges</v>
          </cell>
          <cell r="M790">
            <v>-1.5</v>
          </cell>
        </row>
        <row r="791">
          <cell r="L791" t="str">
            <v>Dont Account For</v>
          </cell>
          <cell r="M791">
            <v>50</v>
          </cell>
        </row>
        <row r="792">
          <cell r="L792" t="str">
            <v>Autumn WaterSewage</v>
          </cell>
          <cell r="M792">
            <v>-187.74166666666667</v>
          </cell>
        </row>
        <row r="793">
          <cell r="L793" t="str">
            <v>Dont Account For</v>
          </cell>
          <cell r="M793">
            <v>-51.325000000000003</v>
          </cell>
        </row>
        <row r="794">
          <cell r="L794" t="str">
            <v>Wool</v>
          </cell>
          <cell r="M794">
            <v>-257.63333333333338</v>
          </cell>
        </row>
        <row r="795">
          <cell r="L795" t="str">
            <v>Computer Hardware</v>
          </cell>
          <cell r="M795">
            <v>-29.137500000000003</v>
          </cell>
        </row>
        <row r="796">
          <cell r="L796" t="str">
            <v>Dont Account For</v>
          </cell>
          <cell r="M796">
            <v>41.666666666666671</v>
          </cell>
        </row>
        <row r="797">
          <cell r="L797" t="str">
            <v>Chemist</v>
          </cell>
          <cell r="M797">
            <v>-29.083333333333332</v>
          </cell>
        </row>
        <row r="798">
          <cell r="L798" t="str">
            <v>Unknown</v>
          </cell>
          <cell r="M798">
            <v>-58.016666666666673</v>
          </cell>
        </row>
        <row r="799">
          <cell r="L799" t="str">
            <v>Department Store</v>
          </cell>
          <cell r="M799">
            <v>-136.53333333333333</v>
          </cell>
        </row>
        <row r="800">
          <cell r="L800" t="str">
            <v>Department Store</v>
          </cell>
          <cell r="M800">
            <v>-58.550000000000004</v>
          </cell>
        </row>
        <row r="801">
          <cell r="L801" t="str">
            <v>Books, Videos, Magazines</v>
          </cell>
          <cell r="M801">
            <v>-20.858333333333334</v>
          </cell>
        </row>
        <row r="802">
          <cell r="L802" t="str">
            <v>Eating Out</v>
          </cell>
          <cell r="M802">
            <v>-37.400000000000006</v>
          </cell>
        </row>
        <row r="803">
          <cell r="L803" t="str">
            <v>Doctor</v>
          </cell>
          <cell r="M803">
            <v>-406.52499999999998</v>
          </cell>
        </row>
        <row r="804">
          <cell r="L804" t="str">
            <v>Doctor</v>
          </cell>
          <cell r="M804">
            <v>-88.275000000000006</v>
          </cell>
        </row>
        <row r="805">
          <cell r="L805" t="str">
            <v>Dont Account For</v>
          </cell>
          <cell r="M805">
            <v>41.666666666666671</v>
          </cell>
        </row>
        <row r="806">
          <cell r="L806" t="str">
            <v>Dont Account For</v>
          </cell>
          <cell r="M806">
            <v>41.666666666666671</v>
          </cell>
        </row>
        <row r="807">
          <cell r="L807" t="str">
            <v>Dont Account For</v>
          </cell>
          <cell r="M807">
            <v>-29.166666666666668</v>
          </cell>
        </row>
        <row r="808">
          <cell r="L808" t="str">
            <v>Dont Account For</v>
          </cell>
          <cell r="M808">
            <v>-37.5</v>
          </cell>
        </row>
        <row r="809">
          <cell r="L809" t="str">
            <v>Dont Account For</v>
          </cell>
          <cell r="M809">
            <v>-31.25</v>
          </cell>
        </row>
        <row r="810">
          <cell r="L810" t="str">
            <v>Dont Account For</v>
          </cell>
          <cell r="M810">
            <v>-47.916666666666671</v>
          </cell>
        </row>
        <row r="811">
          <cell r="L811" t="str">
            <v>Bank Charges</v>
          </cell>
          <cell r="M811">
            <v>-12.604166666666668</v>
          </cell>
        </row>
        <row r="812">
          <cell r="L812" t="str">
            <v>Dont Account For</v>
          </cell>
          <cell r="M812">
            <v>-16.666666666666668</v>
          </cell>
        </row>
        <row r="813">
          <cell r="L813" t="str">
            <v>Dont Account For</v>
          </cell>
          <cell r="M813">
            <v>-8.3333333333333339</v>
          </cell>
        </row>
        <row r="814">
          <cell r="L814" t="str">
            <v>Dont Account For</v>
          </cell>
          <cell r="M814">
            <v>-29.166666666666668</v>
          </cell>
        </row>
        <row r="815">
          <cell r="L815" t="str">
            <v>Dont Account For</v>
          </cell>
          <cell r="M815">
            <v>-29.166666666666668</v>
          </cell>
        </row>
        <row r="816">
          <cell r="L816" t="str">
            <v>Regular Cost</v>
          </cell>
          <cell r="M816">
            <v>-80</v>
          </cell>
        </row>
        <row r="817">
          <cell r="L817" t="str">
            <v>Eating Out</v>
          </cell>
          <cell r="M817">
            <v>-10</v>
          </cell>
        </row>
        <row r="818">
          <cell r="L818" t="str">
            <v>Dont Account For</v>
          </cell>
          <cell r="M818">
            <v>41.55</v>
          </cell>
        </row>
        <row r="819">
          <cell r="L819" t="str">
            <v>Dont Account For</v>
          </cell>
          <cell r="M819">
            <v>-362.5</v>
          </cell>
        </row>
        <row r="820">
          <cell r="L820" t="str">
            <v>Dont Account For</v>
          </cell>
          <cell r="M820">
            <v>41.666666666666671</v>
          </cell>
        </row>
        <row r="821">
          <cell r="L821" t="str">
            <v>Dont Account For</v>
          </cell>
          <cell r="M821">
            <v>166.66666666666669</v>
          </cell>
        </row>
        <row r="822">
          <cell r="L822" t="str">
            <v>Unknown</v>
          </cell>
          <cell r="M822">
            <v>-100</v>
          </cell>
        </row>
        <row r="823">
          <cell r="L823" t="str">
            <v>Regular Cost</v>
          </cell>
          <cell r="M823">
            <v>-27.5</v>
          </cell>
        </row>
        <row r="824">
          <cell r="L824" t="str">
            <v>Dont Account For</v>
          </cell>
          <cell r="M824">
            <v>-20</v>
          </cell>
        </row>
        <row r="825">
          <cell r="L825" t="str">
            <v>Department Store</v>
          </cell>
          <cell r="M825">
            <v>-54.32083333333334</v>
          </cell>
        </row>
        <row r="826">
          <cell r="L826" t="str">
            <v>Bank Charges</v>
          </cell>
          <cell r="M826">
            <v>-1.5</v>
          </cell>
        </row>
        <row r="827">
          <cell r="L827" t="str">
            <v>Unknown</v>
          </cell>
          <cell r="M827">
            <v>-160</v>
          </cell>
        </row>
        <row r="828">
          <cell r="L828" t="str">
            <v>Dont Account For</v>
          </cell>
          <cell r="M828">
            <v>160</v>
          </cell>
        </row>
        <row r="829">
          <cell r="L829" t="str">
            <v>Dont Account For</v>
          </cell>
          <cell r="M829">
            <v>-20</v>
          </cell>
        </row>
        <row r="830">
          <cell r="L830" t="str">
            <v>Tutoring</v>
          </cell>
          <cell r="M830">
            <v>-80</v>
          </cell>
        </row>
        <row r="831">
          <cell r="L831" t="str">
            <v>Groceries</v>
          </cell>
          <cell r="M831">
            <v>-10</v>
          </cell>
        </row>
        <row r="832">
          <cell r="L832" t="str">
            <v>Dont Account For</v>
          </cell>
          <cell r="M832">
            <v>-29.166666666666668</v>
          </cell>
        </row>
        <row r="833">
          <cell r="L833" t="str">
            <v>Dont Account For</v>
          </cell>
          <cell r="M833">
            <v>-14.583333333333334</v>
          </cell>
        </row>
        <row r="834">
          <cell r="L834" t="str">
            <v>Cinema</v>
          </cell>
          <cell r="M834">
            <v>-55.333333333333343</v>
          </cell>
        </row>
        <row r="835">
          <cell r="L835" t="str">
            <v>Dont Account For</v>
          </cell>
          <cell r="M835">
            <v>-51.25416666666667</v>
          </cell>
        </row>
        <row r="836">
          <cell r="L836" t="str">
            <v>Eating Out</v>
          </cell>
          <cell r="M836">
            <v>-13.395833333333334</v>
          </cell>
        </row>
        <row r="837">
          <cell r="L837" t="str">
            <v>Petrol</v>
          </cell>
          <cell r="M837">
            <v>-22.574999999999999</v>
          </cell>
        </row>
        <row r="838">
          <cell r="L838" t="str">
            <v>Dont Account For</v>
          </cell>
          <cell r="M838">
            <v>-4.166666666666667</v>
          </cell>
        </row>
        <row r="839">
          <cell r="L839" t="str">
            <v>Dont Account For</v>
          </cell>
          <cell r="M839">
            <v>4.166666666666667</v>
          </cell>
        </row>
        <row r="840">
          <cell r="L840" t="str">
            <v>Dont Account For</v>
          </cell>
          <cell r="M840">
            <v>-31.666666666666668</v>
          </cell>
        </row>
        <row r="841">
          <cell r="L841" t="str">
            <v>VOIP</v>
          </cell>
          <cell r="M841">
            <v>-13.733333333333334</v>
          </cell>
        </row>
        <row r="842">
          <cell r="L842" t="str">
            <v>Unknown</v>
          </cell>
          <cell r="M842">
            <v>-80</v>
          </cell>
        </row>
        <row r="843">
          <cell r="L843" t="str">
            <v>Bank Charges</v>
          </cell>
          <cell r="M843">
            <v>-1.5</v>
          </cell>
        </row>
        <row r="844">
          <cell r="L844" t="str">
            <v>Dont Account For</v>
          </cell>
          <cell r="M844">
            <v>80</v>
          </cell>
        </row>
        <row r="845">
          <cell r="L845" t="str">
            <v>Dont Account For</v>
          </cell>
          <cell r="M845">
            <v>1250</v>
          </cell>
        </row>
        <row r="846">
          <cell r="L846" t="str">
            <v>Dont Account For</v>
          </cell>
          <cell r="M846">
            <v>-20.833333333333336</v>
          </cell>
        </row>
        <row r="847">
          <cell r="L847" t="str">
            <v>Dont Account For</v>
          </cell>
          <cell r="M847">
            <v>-8.3333333333333339</v>
          </cell>
        </row>
        <row r="848">
          <cell r="L848" t="str">
            <v>Dont Account For</v>
          </cell>
          <cell r="M848">
            <v>-110</v>
          </cell>
        </row>
        <row r="849">
          <cell r="L849" t="str">
            <v>Dont Account For</v>
          </cell>
          <cell r="M849">
            <v>-15.17</v>
          </cell>
        </row>
        <row r="850">
          <cell r="L850" t="str">
            <v>Dont Account For</v>
          </cell>
          <cell r="M850">
            <v>50</v>
          </cell>
        </row>
        <row r="851">
          <cell r="L851" t="str">
            <v>Unknown</v>
          </cell>
          <cell r="M851">
            <v>-50</v>
          </cell>
        </row>
        <row r="852">
          <cell r="L852" t="str">
            <v>Dont Account For</v>
          </cell>
          <cell r="M852">
            <v>50</v>
          </cell>
        </row>
        <row r="853">
          <cell r="L853" t="str">
            <v>Dont Account For</v>
          </cell>
          <cell r="M853">
            <v>912.5</v>
          </cell>
        </row>
        <row r="854">
          <cell r="L854" t="str">
            <v>Dont Account For</v>
          </cell>
          <cell r="M854">
            <v>-12.5</v>
          </cell>
        </row>
        <row r="855">
          <cell r="L855" t="str">
            <v>Eating Out</v>
          </cell>
          <cell r="M855">
            <v>-23.275000000000002</v>
          </cell>
        </row>
        <row r="856">
          <cell r="L856" t="str">
            <v>Regular Cost</v>
          </cell>
          <cell r="M856">
            <v>-6838.7791666666672</v>
          </cell>
        </row>
        <row r="857">
          <cell r="L857" t="str">
            <v>Department Store</v>
          </cell>
          <cell r="M857">
            <v>-98.25833333333334</v>
          </cell>
        </row>
        <row r="858">
          <cell r="L858" t="str">
            <v>Department Store</v>
          </cell>
          <cell r="M858">
            <v>-21.045833333333334</v>
          </cell>
        </row>
        <row r="859">
          <cell r="L859" t="str">
            <v>Department Store</v>
          </cell>
          <cell r="M859">
            <v>-34</v>
          </cell>
        </row>
        <row r="860">
          <cell r="L860" t="str">
            <v>Dont Account For</v>
          </cell>
          <cell r="M860">
            <v>-57.525000000000006</v>
          </cell>
        </row>
        <row r="861">
          <cell r="L861" t="str">
            <v>Clothing</v>
          </cell>
          <cell r="M861">
            <v>-31.675000000000001</v>
          </cell>
        </row>
        <row r="862">
          <cell r="L862" t="str">
            <v>Computer Books</v>
          </cell>
          <cell r="M862">
            <v>-141.82500000000002</v>
          </cell>
        </row>
        <row r="863">
          <cell r="L863" t="str">
            <v>Computer Books</v>
          </cell>
          <cell r="M863">
            <v>-154.76666666666668</v>
          </cell>
        </row>
        <row r="864">
          <cell r="L864" t="str">
            <v>Regular Cost</v>
          </cell>
          <cell r="M864">
            <v>-80</v>
          </cell>
        </row>
        <row r="865">
          <cell r="L865" t="str">
            <v>Dont Account For</v>
          </cell>
          <cell r="M865">
            <v>-12.5</v>
          </cell>
        </row>
        <row r="866">
          <cell r="L866" t="str">
            <v>Dont Account For</v>
          </cell>
          <cell r="M866">
            <v>-1541.6666666666667</v>
          </cell>
        </row>
        <row r="867">
          <cell r="L867" t="str">
            <v>Computer Hardware</v>
          </cell>
          <cell r="M867">
            <v>-281.25</v>
          </cell>
        </row>
        <row r="868">
          <cell r="L868" t="str">
            <v>Dont Account For</v>
          </cell>
          <cell r="M868">
            <v>-41.666666666666671</v>
          </cell>
        </row>
        <row r="869">
          <cell r="L869" t="str">
            <v>Dont Account For</v>
          </cell>
          <cell r="M869">
            <v>-62.5</v>
          </cell>
        </row>
        <row r="870">
          <cell r="L870" t="str">
            <v>Dont Account For</v>
          </cell>
          <cell r="M870">
            <v>-12.5</v>
          </cell>
        </row>
        <row r="871">
          <cell r="L871" t="str">
            <v>Regular Cost</v>
          </cell>
          <cell r="M871">
            <v>-30.533333333333335</v>
          </cell>
        </row>
        <row r="872">
          <cell r="L872" t="str">
            <v>Groceries</v>
          </cell>
          <cell r="M872">
            <v>-143.77500000000001</v>
          </cell>
        </row>
        <row r="873">
          <cell r="L873" t="str">
            <v>Optus Mobile</v>
          </cell>
          <cell r="M873">
            <v>-147.41666666666669</v>
          </cell>
        </row>
        <row r="874">
          <cell r="L874" t="str">
            <v>Doctor</v>
          </cell>
          <cell r="M874">
            <v>-57.545833333333341</v>
          </cell>
        </row>
        <row r="875">
          <cell r="L875" t="str">
            <v>Unknown</v>
          </cell>
          <cell r="M875">
            <v>-50</v>
          </cell>
        </row>
        <row r="876">
          <cell r="L876" t="str">
            <v>Unknown</v>
          </cell>
          <cell r="M876">
            <v>-50</v>
          </cell>
        </row>
        <row r="877">
          <cell r="L877" t="str">
            <v>Dont Account For</v>
          </cell>
          <cell r="M877">
            <v>50</v>
          </cell>
        </row>
        <row r="878">
          <cell r="L878" t="str">
            <v>Dont Account For</v>
          </cell>
          <cell r="M878">
            <v>50</v>
          </cell>
        </row>
        <row r="879">
          <cell r="L879" t="str">
            <v>Dont Account For</v>
          </cell>
          <cell r="M879">
            <v>-103.75</v>
          </cell>
        </row>
        <row r="880">
          <cell r="L880" t="str">
            <v>Bank Charges</v>
          </cell>
          <cell r="M880">
            <v>-1.5</v>
          </cell>
        </row>
        <row r="881">
          <cell r="L881" t="str">
            <v>Unknown</v>
          </cell>
          <cell r="M881">
            <v>-500</v>
          </cell>
        </row>
        <row r="882">
          <cell r="L882" t="str">
            <v>Dont Account For</v>
          </cell>
          <cell r="M882">
            <v>500</v>
          </cell>
        </row>
        <row r="883">
          <cell r="L883" t="str">
            <v>Eating Out</v>
          </cell>
          <cell r="M883">
            <v>-42.279166666666669</v>
          </cell>
        </row>
        <row r="884">
          <cell r="L884" t="str">
            <v>Chemist</v>
          </cell>
          <cell r="M884">
            <v>-24.954166666666669</v>
          </cell>
        </row>
        <row r="885">
          <cell r="L885" t="str">
            <v>Dont Account For</v>
          </cell>
          <cell r="M885">
            <v>-53.333333333333336</v>
          </cell>
        </row>
        <row r="886">
          <cell r="L886" t="str">
            <v>Dont Account For</v>
          </cell>
          <cell r="M886">
            <v>41.666666666666671</v>
          </cell>
        </row>
        <row r="887">
          <cell r="L887" t="str">
            <v>Dont Account For</v>
          </cell>
          <cell r="M887">
            <v>41.666666666666671</v>
          </cell>
        </row>
        <row r="888">
          <cell r="L888" t="str">
            <v>Dont Account For</v>
          </cell>
          <cell r="M888">
            <v>41.666666666666671</v>
          </cell>
        </row>
        <row r="889">
          <cell r="L889" t="str">
            <v>Groceries</v>
          </cell>
          <cell r="M889">
            <v>-33.291666666666671</v>
          </cell>
        </row>
        <row r="890">
          <cell r="L890" t="str">
            <v>Gifts</v>
          </cell>
          <cell r="M890">
            <v>-97.470833333333346</v>
          </cell>
        </row>
        <row r="891">
          <cell r="L891" t="str">
            <v>Dont Account For</v>
          </cell>
          <cell r="M891">
            <v>-24.541666666666668</v>
          </cell>
        </row>
        <row r="892">
          <cell r="L892" t="str">
            <v>Holiday</v>
          </cell>
          <cell r="M892">
            <v>-186.47916666666669</v>
          </cell>
        </row>
        <row r="893">
          <cell r="L893" t="str">
            <v>Dont Account For</v>
          </cell>
          <cell r="M893">
            <v>-31.666666666666668</v>
          </cell>
        </row>
        <row r="894">
          <cell r="L894" t="str">
            <v>Groceries</v>
          </cell>
          <cell r="M894">
            <v>-30.145833333333332</v>
          </cell>
        </row>
        <row r="895">
          <cell r="L895" t="str">
            <v>Dont Account For</v>
          </cell>
          <cell r="M895">
            <v>7.5</v>
          </cell>
        </row>
        <row r="896">
          <cell r="L896" t="str">
            <v>Groceries</v>
          </cell>
          <cell r="M896">
            <v>-82.883333333333326</v>
          </cell>
        </row>
        <row r="897">
          <cell r="L897" t="str">
            <v>Books, Videos, Magazines</v>
          </cell>
          <cell r="M897">
            <v>-81.904166666666669</v>
          </cell>
        </row>
        <row r="898">
          <cell r="L898" t="str">
            <v>Computer Books</v>
          </cell>
          <cell r="M898">
            <v>-152.61666666666667</v>
          </cell>
        </row>
        <row r="899">
          <cell r="L899" t="str">
            <v>Computer Books</v>
          </cell>
          <cell r="M899">
            <v>-101.28333333333335</v>
          </cell>
        </row>
        <row r="900">
          <cell r="L900" t="str">
            <v>Dont Account For</v>
          </cell>
          <cell r="M900">
            <v>-21.270833333333332</v>
          </cell>
        </row>
        <row r="901">
          <cell r="L901" t="str">
            <v>Dont Account For</v>
          </cell>
          <cell r="M901">
            <v>-49.358333333333334</v>
          </cell>
        </row>
        <row r="902">
          <cell r="L902" t="str">
            <v>Dont Account For</v>
          </cell>
          <cell r="M902">
            <v>-29.525000000000002</v>
          </cell>
        </row>
        <row r="903">
          <cell r="L903" t="str">
            <v>Petrol</v>
          </cell>
          <cell r="M903">
            <v>-50.862499999999997</v>
          </cell>
        </row>
        <row r="904">
          <cell r="L904" t="str">
            <v>Dont Account For</v>
          </cell>
          <cell r="M904">
            <v>-53.666666666666671</v>
          </cell>
        </row>
        <row r="905">
          <cell r="L905" t="str">
            <v>Dont Account For</v>
          </cell>
          <cell r="M905">
            <v>-112.6375</v>
          </cell>
        </row>
        <row r="906">
          <cell r="L906" t="str">
            <v>Dont Account For</v>
          </cell>
          <cell r="M906">
            <v>-41.741666666666674</v>
          </cell>
        </row>
        <row r="907">
          <cell r="L907" t="str">
            <v>Dont Account For</v>
          </cell>
          <cell r="M907">
            <v>-42.487500000000004</v>
          </cell>
        </row>
        <row r="908">
          <cell r="L908" t="str">
            <v>Eating Out</v>
          </cell>
          <cell r="M908">
            <v>-30</v>
          </cell>
        </row>
        <row r="909">
          <cell r="L909" t="str">
            <v>Dont Account For</v>
          </cell>
          <cell r="M909">
            <v>50</v>
          </cell>
        </row>
        <row r="910">
          <cell r="L910" t="str">
            <v>Unknown</v>
          </cell>
          <cell r="M910">
            <v>-39.9</v>
          </cell>
        </row>
        <row r="911">
          <cell r="L911" t="str">
            <v>Unknown</v>
          </cell>
          <cell r="M911">
            <v>-24.64</v>
          </cell>
        </row>
        <row r="912">
          <cell r="L912" t="str">
            <v>Dont Account For</v>
          </cell>
          <cell r="M912">
            <v>1458.3333333333335</v>
          </cell>
        </row>
        <row r="913">
          <cell r="L913" t="str">
            <v>Dont Account For</v>
          </cell>
          <cell r="M913">
            <v>-36.087499999999999</v>
          </cell>
        </row>
        <row r="914">
          <cell r="L914" t="str">
            <v>Dont Account For</v>
          </cell>
          <cell r="M914">
            <v>-135.04166666666669</v>
          </cell>
        </row>
        <row r="915">
          <cell r="L915" t="str">
            <v>Dont Account For</v>
          </cell>
          <cell r="M915">
            <v>-15.808333333333334</v>
          </cell>
        </row>
        <row r="916">
          <cell r="L916" t="str">
            <v>Computer Hardware</v>
          </cell>
          <cell r="M916">
            <v>-126.15416666666667</v>
          </cell>
        </row>
        <row r="917">
          <cell r="L917" t="str">
            <v>Eating Out</v>
          </cell>
          <cell r="M917">
            <v>-45.012500000000003</v>
          </cell>
        </row>
        <row r="918">
          <cell r="L918" t="str">
            <v>Dont Account For</v>
          </cell>
          <cell r="M918">
            <v>-57.1</v>
          </cell>
        </row>
        <row r="919">
          <cell r="L919" t="str">
            <v>Gifts</v>
          </cell>
          <cell r="M919">
            <v>-25.85</v>
          </cell>
        </row>
        <row r="920">
          <cell r="L920" t="str">
            <v>Dont Account For</v>
          </cell>
          <cell r="M920">
            <v>-30</v>
          </cell>
        </row>
        <row r="921">
          <cell r="L921" t="str">
            <v>Dont Account For</v>
          </cell>
          <cell r="M921">
            <v>-10.416666666666668</v>
          </cell>
        </row>
        <row r="922">
          <cell r="L922" t="str">
            <v>Dont Account For</v>
          </cell>
          <cell r="M922">
            <v>-24.616666666666667</v>
          </cell>
        </row>
        <row r="923">
          <cell r="L923" t="str">
            <v>Computer Hardware</v>
          </cell>
          <cell r="M923">
            <v>-123.47499999999999</v>
          </cell>
        </row>
        <row r="924">
          <cell r="L924" t="str">
            <v>Dont Account For</v>
          </cell>
          <cell r="M924">
            <v>-479.04166666666669</v>
          </cell>
        </row>
        <row r="925">
          <cell r="L925" t="str">
            <v>Unknown</v>
          </cell>
          <cell r="M925">
            <v>-67.45</v>
          </cell>
        </row>
        <row r="926">
          <cell r="L926" t="str">
            <v>Dont Account For</v>
          </cell>
          <cell r="M926">
            <v>-15</v>
          </cell>
        </row>
        <row r="927">
          <cell r="L927" t="str">
            <v>Minerva WaterSewage</v>
          </cell>
          <cell r="M927">
            <v>-33.645833333333336</v>
          </cell>
        </row>
        <row r="928">
          <cell r="L928" t="str">
            <v>Optus Home Phone</v>
          </cell>
          <cell r="M928">
            <v>-66.879166666666663</v>
          </cell>
        </row>
        <row r="929">
          <cell r="L929" t="str">
            <v>Dont Account For</v>
          </cell>
          <cell r="M929">
            <v>-52.220833333333331</v>
          </cell>
        </row>
        <row r="930">
          <cell r="L930" t="str">
            <v>Eating Out</v>
          </cell>
          <cell r="M930">
            <v>-30.595833333333339</v>
          </cell>
        </row>
        <row r="931">
          <cell r="L931" t="str">
            <v>Computer Software</v>
          </cell>
          <cell r="M931">
            <v>-54.295833333333334</v>
          </cell>
        </row>
        <row r="932">
          <cell r="L932" t="str">
            <v>Household Items</v>
          </cell>
          <cell r="M932">
            <v>-14.3</v>
          </cell>
        </row>
        <row r="933">
          <cell r="L933" t="str">
            <v>Dont Account For</v>
          </cell>
          <cell r="M933">
            <v>-12.5</v>
          </cell>
        </row>
        <row r="934">
          <cell r="L934" t="str">
            <v>Dont Account For</v>
          </cell>
          <cell r="M934">
            <v>83.333333333333343</v>
          </cell>
        </row>
        <row r="935">
          <cell r="L935" t="str">
            <v>Dont Account For</v>
          </cell>
          <cell r="M935">
            <v>125</v>
          </cell>
        </row>
        <row r="936">
          <cell r="L936" t="str">
            <v>Dont Account For</v>
          </cell>
          <cell r="M936">
            <v>-16.666666666666668</v>
          </cell>
        </row>
        <row r="937">
          <cell r="L937" t="str">
            <v>Dont Account For</v>
          </cell>
          <cell r="M937">
            <v>-1250</v>
          </cell>
        </row>
        <row r="938">
          <cell r="L938" t="str">
            <v>Dont Account For</v>
          </cell>
          <cell r="M938">
            <v>1250</v>
          </cell>
        </row>
        <row r="939">
          <cell r="L939" t="str">
            <v>Household Items</v>
          </cell>
          <cell r="M939">
            <v>-305.52083333333337</v>
          </cell>
        </row>
        <row r="940">
          <cell r="L940" t="str">
            <v>Groceries</v>
          </cell>
          <cell r="M940">
            <v>-166.88</v>
          </cell>
        </row>
        <row r="941">
          <cell r="L941" t="str">
            <v>Dont Account For</v>
          </cell>
          <cell r="M941">
            <v>-166.79583333333335</v>
          </cell>
        </row>
        <row r="942">
          <cell r="L942" t="str">
            <v>Dont Account For</v>
          </cell>
          <cell r="M942">
            <v>-20</v>
          </cell>
        </row>
        <row r="943">
          <cell r="L943" t="str">
            <v>Eating Out</v>
          </cell>
          <cell r="M943">
            <v>-41.2</v>
          </cell>
        </row>
        <row r="944">
          <cell r="L944" t="str">
            <v>Dont Account For</v>
          </cell>
          <cell r="M944">
            <v>280</v>
          </cell>
        </row>
        <row r="945">
          <cell r="L945" t="str">
            <v>Dont Account For</v>
          </cell>
          <cell r="M945">
            <v>-16.666666666666668</v>
          </cell>
        </row>
        <row r="946">
          <cell r="L946" t="str">
            <v>Doctor</v>
          </cell>
          <cell r="M946">
            <v>-78.475000000000009</v>
          </cell>
        </row>
        <row r="947">
          <cell r="L947" t="str">
            <v>Dont Account For</v>
          </cell>
          <cell r="M947">
            <v>-33.620833333333337</v>
          </cell>
        </row>
        <row r="948">
          <cell r="L948" t="str">
            <v>Gifts</v>
          </cell>
          <cell r="M948">
            <v>-14.85</v>
          </cell>
        </row>
        <row r="949">
          <cell r="L949" t="str">
            <v>Groceries</v>
          </cell>
          <cell r="M949">
            <v>-100</v>
          </cell>
        </row>
        <row r="950">
          <cell r="L950" t="str">
            <v>Dont Account For</v>
          </cell>
          <cell r="M950">
            <v>-33.333333333333336</v>
          </cell>
        </row>
        <row r="951">
          <cell r="L951" t="str">
            <v>Dont Account For</v>
          </cell>
          <cell r="M951">
            <v>41.666666666666671</v>
          </cell>
        </row>
        <row r="952">
          <cell r="L952" t="str">
            <v>Dont Account For</v>
          </cell>
          <cell r="M952">
            <v>-10.416666666666668</v>
          </cell>
        </row>
        <row r="953">
          <cell r="L953" t="str">
            <v>Clothing</v>
          </cell>
          <cell r="M953">
            <v>-6.25</v>
          </cell>
        </row>
        <row r="954">
          <cell r="L954" t="str">
            <v>Dont Account For</v>
          </cell>
          <cell r="M954">
            <v>-12.5</v>
          </cell>
        </row>
        <row r="955">
          <cell r="L955" t="str">
            <v>Gifts</v>
          </cell>
          <cell r="M955">
            <v>-60.375000000000007</v>
          </cell>
        </row>
        <row r="956">
          <cell r="L956" t="str">
            <v>Chemist</v>
          </cell>
          <cell r="M956">
            <v>-23.045833333333334</v>
          </cell>
        </row>
        <row r="957">
          <cell r="L957" t="str">
            <v>Petrol</v>
          </cell>
          <cell r="M957">
            <v>-72.462500000000006</v>
          </cell>
        </row>
        <row r="958">
          <cell r="L958" t="str">
            <v>Groceries</v>
          </cell>
          <cell r="M958">
            <v>-44.912500000000001</v>
          </cell>
        </row>
        <row r="959">
          <cell r="L959" t="str">
            <v>Dont Account For</v>
          </cell>
          <cell r="M959">
            <v>-25</v>
          </cell>
        </row>
        <row r="960">
          <cell r="L960" t="str">
            <v>Dont Account For</v>
          </cell>
          <cell r="M960">
            <v>-10.416666666666668</v>
          </cell>
        </row>
        <row r="961">
          <cell r="L961" t="str">
            <v>Dont Account For</v>
          </cell>
          <cell r="M961">
            <v>-77.233333333333348</v>
          </cell>
        </row>
        <row r="962">
          <cell r="L962" t="str">
            <v>Books, Videos, Magazines</v>
          </cell>
          <cell r="M962">
            <v>-40.633333333333333</v>
          </cell>
        </row>
        <row r="963">
          <cell r="L963" t="str">
            <v>Dont Account For</v>
          </cell>
          <cell r="M963">
            <v>-37.5</v>
          </cell>
        </row>
        <row r="964">
          <cell r="L964" t="str">
            <v>Dont Account For</v>
          </cell>
          <cell r="M964">
            <v>-18.604166666666668</v>
          </cell>
        </row>
        <row r="965">
          <cell r="L965" t="str">
            <v>Dont Account For</v>
          </cell>
          <cell r="M965">
            <v>0</v>
          </cell>
        </row>
        <row r="966">
          <cell r="L966" t="str">
            <v>Dont Account For</v>
          </cell>
          <cell r="M966">
            <v>1177.55</v>
          </cell>
        </row>
        <row r="967">
          <cell r="L967" t="str">
            <v>Dont Account For</v>
          </cell>
          <cell r="M967">
            <v>275.87916666666666</v>
          </cell>
        </row>
        <row r="968">
          <cell r="L968" t="str">
            <v>Dont Account For</v>
          </cell>
          <cell r="M968">
            <v>-33.333333333333336</v>
          </cell>
        </row>
        <row r="969">
          <cell r="L969" t="str">
            <v>Department Store</v>
          </cell>
          <cell r="M969">
            <v>-13.9</v>
          </cell>
        </row>
        <row r="970">
          <cell r="L970" t="str">
            <v>Department Store</v>
          </cell>
          <cell r="M970">
            <v>-9.9499999999999993</v>
          </cell>
        </row>
        <row r="971">
          <cell r="L971" t="str">
            <v>Eating Out</v>
          </cell>
          <cell r="M971">
            <v>-11</v>
          </cell>
        </row>
        <row r="972">
          <cell r="L972" t="str">
            <v>Eating Out</v>
          </cell>
          <cell r="M972">
            <v>-14.2</v>
          </cell>
        </row>
        <row r="973">
          <cell r="L973" t="str">
            <v>Unknown</v>
          </cell>
          <cell r="M973">
            <v>-50</v>
          </cell>
        </row>
        <row r="974">
          <cell r="L974" t="str">
            <v>Household Items</v>
          </cell>
          <cell r="M974">
            <v>-10</v>
          </cell>
        </row>
        <row r="975">
          <cell r="L975" t="str">
            <v>Dont Account For</v>
          </cell>
          <cell r="M975">
            <v>50</v>
          </cell>
        </row>
        <row r="976">
          <cell r="L976" t="str">
            <v>Eating Out</v>
          </cell>
          <cell r="M976">
            <v>-28.662500000000005</v>
          </cell>
        </row>
        <row r="977">
          <cell r="L977" t="str">
            <v>Cinema</v>
          </cell>
          <cell r="M977">
            <v>-16.120833333333334</v>
          </cell>
        </row>
        <row r="978">
          <cell r="L978" t="str">
            <v>Dont Account For</v>
          </cell>
          <cell r="M978">
            <v>-52.545833333333334</v>
          </cell>
        </row>
        <row r="979">
          <cell r="L979" t="str">
            <v>Gifts</v>
          </cell>
          <cell r="M979">
            <v>-28.483333333333334</v>
          </cell>
        </row>
        <row r="980">
          <cell r="L980" t="str">
            <v>Groceries</v>
          </cell>
          <cell r="M980">
            <v>-159.87083333333334</v>
          </cell>
        </row>
        <row r="981">
          <cell r="L981" t="str">
            <v>Regular Cost</v>
          </cell>
          <cell r="M981">
            <v>-300.71250000000003</v>
          </cell>
        </row>
        <row r="982">
          <cell r="L982" t="str">
            <v>Gifts</v>
          </cell>
          <cell r="M982">
            <v>-98.391666666666666</v>
          </cell>
        </row>
        <row r="983">
          <cell r="L983" t="str">
            <v>Regular Cost</v>
          </cell>
          <cell r="M983">
            <v>-60.383333333333333</v>
          </cell>
        </row>
        <row r="984">
          <cell r="L984" t="str">
            <v>Department Store</v>
          </cell>
          <cell r="M984">
            <v>-299.87083333333339</v>
          </cell>
        </row>
        <row r="985">
          <cell r="L985" t="str">
            <v>Household Items</v>
          </cell>
          <cell r="M985">
            <v>-238.85833333333335</v>
          </cell>
        </row>
        <row r="986">
          <cell r="L986" t="str">
            <v>Dont Account For</v>
          </cell>
          <cell r="M986">
            <v>-47.54</v>
          </cell>
        </row>
        <row r="987">
          <cell r="L987" t="str">
            <v>Dont Account For</v>
          </cell>
          <cell r="M987">
            <v>41.666666666666671</v>
          </cell>
        </row>
        <row r="988">
          <cell r="L988" t="str">
            <v>Computer Hardware</v>
          </cell>
          <cell r="M988">
            <v>-62.5</v>
          </cell>
        </row>
        <row r="989">
          <cell r="L989" t="str">
            <v>Dont Account For</v>
          </cell>
          <cell r="M989">
            <v>0</v>
          </cell>
        </row>
        <row r="990">
          <cell r="L990" t="str">
            <v>Dont Account For</v>
          </cell>
          <cell r="M990">
            <v>-14.99</v>
          </cell>
        </row>
        <row r="991">
          <cell r="L991" t="str">
            <v>Dont Account For</v>
          </cell>
          <cell r="M991">
            <v>-14</v>
          </cell>
        </row>
        <row r="992">
          <cell r="L992" t="str">
            <v>Dont Account For</v>
          </cell>
          <cell r="M992">
            <v>8333.3333333333339</v>
          </cell>
        </row>
        <row r="993">
          <cell r="L993" t="str">
            <v>Dont Account For</v>
          </cell>
          <cell r="M993">
            <v>8333.3333333333339</v>
          </cell>
        </row>
        <row r="994">
          <cell r="L994" t="str">
            <v>Dont Account For</v>
          </cell>
          <cell r="M994">
            <v>-8333.3333333333339</v>
          </cell>
        </row>
        <row r="995">
          <cell r="L995" t="str">
            <v>Dont Account For</v>
          </cell>
          <cell r="M995">
            <v>-16.666666666666668</v>
          </cell>
        </row>
        <row r="996">
          <cell r="L996" t="str">
            <v>Dont Account For</v>
          </cell>
          <cell r="M996">
            <v>-10.09</v>
          </cell>
        </row>
        <row r="997">
          <cell r="L997" t="str">
            <v>Dont Account For</v>
          </cell>
          <cell r="M997">
            <v>-5</v>
          </cell>
        </row>
        <row r="998">
          <cell r="L998" t="str">
            <v>Unknown</v>
          </cell>
          <cell r="M998">
            <v>-20</v>
          </cell>
        </row>
        <row r="999">
          <cell r="L999" t="str">
            <v>Dont Account For</v>
          </cell>
          <cell r="M999">
            <v>20</v>
          </cell>
        </row>
        <row r="1000">
          <cell r="L1000" t="str">
            <v>Dont Account For</v>
          </cell>
          <cell r="M1000">
            <v>41.666666666666671</v>
          </cell>
        </row>
        <row r="1001">
          <cell r="L1001" t="str">
            <v>Dont Account For</v>
          </cell>
          <cell r="M1001">
            <v>-16.666666666666668</v>
          </cell>
        </row>
        <row r="1002">
          <cell r="L1002" t="str">
            <v>Dont Account For</v>
          </cell>
          <cell r="M1002">
            <v>-16.666666666666668</v>
          </cell>
        </row>
        <row r="1003">
          <cell r="L1003" t="str">
            <v>Chemist</v>
          </cell>
          <cell r="M1003">
            <v>-30</v>
          </cell>
        </row>
        <row r="1004">
          <cell r="L1004" t="str">
            <v>Department Store</v>
          </cell>
          <cell r="M1004">
            <v>-18.462500000000002</v>
          </cell>
        </row>
        <row r="1005">
          <cell r="L1005" t="str">
            <v>Gifts</v>
          </cell>
          <cell r="M1005">
            <v>-80.350000000000009</v>
          </cell>
        </row>
        <row r="1006">
          <cell r="L1006" t="str">
            <v>Dont Account For</v>
          </cell>
          <cell r="M1006">
            <v>-52.924999999999997</v>
          </cell>
        </row>
        <row r="1007">
          <cell r="L1007" t="str">
            <v>Dont Account For</v>
          </cell>
          <cell r="M1007">
            <v>-51.25</v>
          </cell>
        </row>
        <row r="1008">
          <cell r="L1008" t="str">
            <v>Dont Account For</v>
          </cell>
          <cell r="M1008">
            <v>-240.76250000000002</v>
          </cell>
        </row>
        <row r="1009">
          <cell r="L1009" t="str">
            <v>Unknown</v>
          </cell>
          <cell r="M1009">
            <v>-92.620833333333337</v>
          </cell>
        </row>
        <row r="1010">
          <cell r="L1010" t="str">
            <v>Stationary</v>
          </cell>
          <cell r="M1010">
            <v>-24.95</v>
          </cell>
        </row>
        <row r="1011">
          <cell r="L1011" t="str">
            <v>Unknown</v>
          </cell>
          <cell r="M1011">
            <v>-104.16666666666667</v>
          </cell>
        </row>
        <row r="1012">
          <cell r="L1012" t="str">
            <v>Dont Account For</v>
          </cell>
          <cell r="M1012">
            <v>-4.166666666666667</v>
          </cell>
        </row>
        <row r="1013">
          <cell r="L1013" t="str">
            <v>Dont Account For</v>
          </cell>
          <cell r="M1013">
            <v>-16.666666666666668</v>
          </cell>
        </row>
        <row r="1014">
          <cell r="L1014" t="str">
            <v>Eating Out</v>
          </cell>
          <cell r="M1014">
            <v>-12.5</v>
          </cell>
        </row>
        <row r="1015">
          <cell r="L1015" t="str">
            <v>Dont Account For</v>
          </cell>
          <cell r="M1015">
            <v>-6.95</v>
          </cell>
        </row>
        <row r="1016">
          <cell r="L1016" t="str">
            <v>Dont Account For</v>
          </cell>
          <cell r="M1016">
            <v>-16.3</v>
          </cell>
        </row>
        <row r="1017">
          <cell r="L1017" t="str">
            <v>Bank Charges</v>
          </cell>
          <cell r="M1017">
            <v>-17.100000000000001</v>
          </cell>
        </row>
        <row r="1018">
          <cell r="L1018" t="str">
            <v>Minerva Rent</v>
          </cell>
          <cell r="M1018">
            <v>0</v>
          </cell>
        </row>
        <row r="1019">
          <cell r="L1019" t="str">
            <v>Minerva Rent</v>
          </cell>
          <cell r="M1019">
            <v>508.82</v>
          </cell>
        </row>
        <row r="1020">
          <cell r="L1020" t="str">
            <v>Minerva Rent</v>
          </cell>
          <cell r="M1020">
            <v>792.65</v>
          </cell>
        </row>
        <row r="1021">
          <cell r="L1021" t="str">
            <v>Minerva Rent</v>
          </cell>
          <cell r="M1021">
            <v>80.88</v>
          </cell>
        </row>
        <row r="1022">
          <cell r="L1022" t="str">
            <v>Minerva Rent</v>
          </cell>
          <cell r="M1022">
            <v>1411.76</v>
          </cell>
        </row>
        <row r="1023">
          <cell r="L1023" t="str">
            <v>Minerva Agent</v>
          </cell>
          <cell r="M1023">
            <v>-720.59</v>
          </cell>
        </row>
        <row r="1024">
          <cell r="L1024" t="str">
            <v>Minerva Agent</v>
          </cell>
          <cell r="M1024">
            <v>-210.85</v>
          </cell>
        </row>
        <row r="1025">
          <cell r="L1025" t="str">
            <v>Minerva Agent</v>
          </cell>
          <cell r="M1025">
            <v>-21.09</v>
          </cell>
        </row>
        <row r="1026">
          <cell r="L1026" t="str">
            <v>Minerva Agent</v>
          </cell>
          <cell r="M1026">
            <v>-72.06</v>
          </cell>
        </row>
        <row r="1027">
          <cell r="L1027" t="str">
            <v>Minerva Agent</v>
          </cell>
          <cell r="M1027">
            <v>-212.65</v>
          </cell>
        </row>
        <row r="1028">
          <cell r="L1028" t="str">
            <v>Minerva Agent</v>
          </cell>
          <cell r="M1028">
            <v>-7.35</v>
          </cell>
        </row>
        <row r="1029">
          <cell r="L1029" t="str">
            <v>Minerva Agent</v>
          </cell>
          <cell r="M1029">
            <v>-73.53</v>
          </cell>
        </row>
        <row r="1030">
          <cell r="L1030" t="str">
            <v>Bank Charges</v>
          </cell>
          <cell r="M1030">
            <v>-5</v>
          </cell>
        </row>
        <row r="1031">
          <cell r="L1031" t="str">
            <v>Regular Cost</v>
          </cell>
          <cell r="M1031">
            <v>-167.95</v>
          </cell>
        </row>
        <row r="1032">
          <cell r="L1032" t="str">
            <v>Bank Charges</v>
          </cell>
          <cell r="M1032">
            <v>-3</v>
          </cell>
        </row>
        <row r="1033">
          <cell r="L1033" t="str">
            <v>Regular Cost</v>
          </cell>
          <cell r="M1033">
            <v>-117.20833333333334</v>
          </cell>
        </row>
        <row r="1034">
          <cell r="L1034" t="str">
            <v>Groceries</v>
          </cell>
          <cell r="M1034">
            <v>-67.0625</v>
          </cell>
        </row>
        <row r="1035">
          <cell r="L1035" t="str">
            <v>Unknown</v>
          </cell>
          <cell r="M1035">
            <v>-37.383333333333333</v>
          </cell>
        </row>
        <row r="1036">
          <cell r="L1036" t="str">
            <v>Wool</v>
          </cell>
          <cell r="M1036">
            <v>-15.108333333333333</v>
          </cell>
        </row>
        <row r="1037">
          <cell r="L1037" t="str">
            <v>Dont Account For</v>
          </cell>
          <cell r="M1037">
            <v>2916.666666666667</v>
          </cell>
        </row>
        <row r="1038">
          <cell r="L1038" t="str">
            <v>Dont Account For</v>
          </cell>
          <cell r="M1038">
            <v>-16.666666666666668</v>
          </cell>
        </row>
        <row r="1039">
          <cell r="L1039" t="str">
            <v>Chemist</v>
          </cell>
          <cell r="M1039">
            <v>-42.79</v>
          </cell>
        </row>
        <row r="1040">
          <cell r="L1040" t="str">
            <v>Dont Account For</v>
          </cell>
          <cell r="M1040">
            <v>-150</v>
          </cell>
        </row>
        <row r="1041">
          <cell r="L1041" t="str">
            <v>Dont Account For</v>
          </cell>
          <cell r="M1041">
            <v>150</v>
          </cell>
        </row>
        <row r="1042">
          <cell r="L1042" t="str">
            <v>Groceries</v>
          </cell>
          <cell r="M1042">
            <v>-126.37083333333335</v>
          </cell>
        </row>
        <row r="1043">
          <cell r="L1043" t="str">
            <v>Regular Cost</v>
          </cell>
          <cell r="M1043">
            <v>-60.412500000000009</v>
          </cell>
        </row>
        <row r="1044">
          <cell r="L1044" t="str">
            <v>Eating Out</v>
          </cell>
          <cell r="M1044">
            <v>-81.275000000000006</v>
          </cell>
        </row>
        <row r="1045">
          <cell r="L1045" t="str">
            <v>Dont Account For</v>
          </cell>
          <cell r="M1045">
            <v>-53.375</v>
          </cell>
        </row>
        <row r="1046">
          <cell r="L1046" t="str">
            <v>Dont Account For</v>
          </cell>
          <cell r="M1046">
            <v>-24.541666666666668</v>
          </cell>
        </row>
        <row r="1047">
          <cell r="L1047" t="str">
            <v>Dont Account For</v>
          </cell>
          <cell r="M1047">
            <v>-49.479166666666671</v>
          </cell>
        </row>
        <row r="1048">
          <cell r="L1048" t="str">
            <v>Eating Out</v>
          </cell>
          <cell r="M1048">
            <v>-10.416666666666668</v>
          </cell>
        </row>
        <row r="1049">
          <cell r="L1049" t="str">
            <v>Dont Account For</v>
          </cell>
          <cell r="M1049">
            <v>-4.166666666666667</v>
          </cell>
        </row>
        <row r="1050">
          <cell r="L1050" t="str">
            <v>Dont Account For</v>
          </cell>
          <cell r="M1050">
            <v>-18.75</v>
          </cell>
        </row>
        <row r="1051">
          <cell r="L1051" t="str">
            <v>Department Store</v>
          </cell>
          <cell r="M1051">
            <v>-26.920833333333334</v>
          </cell>
        </row>
        <row r="1052">
          <cell r="L1052" t="str">
            <v>Computer Software</v>
          </cell>
          <cell r="M1052">
            <v>-59.612499999999997</v>
          </cell>
        </row>
        <row r="1053">
          <cell r="L1053" t="str">
            <v>Doctor</v>
          </cell>
          <cell r="M1053">
            <v>-59.337499999999999</v>
          </cell>
        </row>
        <row r="1054">
          <cell r="L1054" t="str">
            <v>Dont Account For</v>
          </cell>
          <cell r="M1054">
            <v>41.666666666666671</v>
          </cell>
        </row>
        <row r="1055">
          <cell r="L1055" t="str">
            <v>Unknown</v>
          </cell>
          <cell r="M1055">
            <v>-500</v>
          </cell>
        </row>
        <row r="1056">
          <cell r="L1056" t="str">
            <v>Dont Account For</v>
          </cell>
          <cell r="M1056">
            <v>500</v>
          </cell>
        </row>
        <row r="1057">
          <cell r="L1057" t="str">
            <v>Dont Account For</v>
          </cell>
          <cell r="M1057">
            <v>879.16666666666674</v>
          </cell>
        </row>
        <row r="1058">
          <cell r="L1058" t="str">
            <v>Household Items</v>
          </cell>
          <cell r="M1058">
            <v>-6.25</v>
          </cell>
        </row>
        <row r="1059">
          <cell r="L1059" t="str">
            <v>Dont Account For</v>
          </cell>
          <cell r="M1059">
            <v>-833.33333333333337</v>
          </cell>
        </row>
        <row r="1060">
          <cell r="L1060" t="str">
            <v>Dont Account For</v>
          </cell>
          <cell r="M1060">
            <v>-30.833333333333336</v>
          </cell>
        </row>
        <row r="1061">
          <cell r="L1061" t="str">
            <v>Dont Account For</v>
          </cell>
          <cell r="M1061">
            <v>833.33333333333337</v>
          </cell>
        </row>
        <row r="1062">
          <cell r="L1062" t="str">
            <v>Bank Charges</v>
          </cell>
          <cell r="M1062">
            <v>-1.5</v>
          </cell>
        </row>
        <row r="1063">
          <cell r="L1063" t="str">
            <v>Household Items</v>
          </cell>
          <cell r="M1063">
            <v>-10</v>
          </cell>
        </row>
        <row r="1064">
          <cell r="L1064" t="str">
            <v>Dont Account For</v>
          </cell>
          <cell r="M1064">
            <v>-1000</v>
          </cell>
        </row>
        <row r="1065">
          <cell r="L1065" t="str">
            <v>Unknown</v>
          </cell>
          <cell r="M1065">
            <v>-40</v>
          </cell>
        </row>
        <row r="1066">
          <cell r="L1066" t="str">
            <v>Dont Account For</v>
          </cell>
          <cell r="M1066">
            <v>40</v>
          </cell>
        </row>
        <row r="1067">
          <cell r="L1067" t="str">
            <v>Dont Account For</v>
          </cell>
          <cell r="M1067">
            <v>1000</v>
          </cell>
        </row>
        <row r="1068">
          <cell r="L1068" t="str">
            <v>Dont Account For</v>
          </cell>
          <cell r="M1068">
            <v>166.66666666666669</v>
          </cell>
        </row>
        <row r="1069">
          <cell r="L1069" t="str">
            <v>Dont Account For</v>
          </cell>
          <cell r="M1069">
            <v>41.666666666666671</v>
          </cell>
        </row>
        <row r="1070">
          <cell r="L1070" t="str">
            <v>Dont Account For</v>
          </cell>
          <cell r="M1070">
            <v>-70.833333333333343</v>
          </cell>
        </row>
        <row r="1071">
          <cell r="L1071" t="str">
            <v>Dont Account For</v>
          </cell>
          <cell r="M1071">
            <v>-20.833333333333336</v>
          </cell>
        </row>
        <row r="1072">
          <cell r="L1072" t="str">
            <v>Dont Account For</v>
          </cell>
          <cell r="M1072">
            <v>20</v>
          </cell>
        </row>
        <row r="1073">
          <cell r="L1073" t="str">
            <v>Petrol</v>
          </cell>
          <cell r="M1073">
            <v>-10.11</v>
          </cell>
        </row>
        <row r="1074">
          <cell r="L1074" t="str">
            <v>Groceries</v>
          </cell>
          <cell r="M1074">
            <v>-39.200000000000003</v>
          </cell>
        </row>
        <row r="1075">
          <cell r="L1075" t="str">
            <v>Dont Account For</v>
          </cell>
          <cell r="M1075">
            <v>0</v>
          </cell>
        </row>
        <row r="1076">
          <cell r="L1076" t="str">
            <v>Dont Account For</v>
          </cell>
          <cell r="M1076">
            <v>4593.1833333333334</v>
          </cell>
        </row>
        <row r="1077">
          <cell r="L1077" t="str">
            <v>Unknown</v>
          </cell>
          <cell r="M1077">
            <v>-25.287500000000001</v>
          </cell>
        </row>
        <row r="1078">
          <cell r="L1078" t="str">
            <v>Associations</v>
          </cell>
          <cell r="M1078">
            <v>-36.125</v>
          </cell>
        </row>
        <row r="1079">
          <cell r="L1079" t="str">
            <v>Eating Out</v>
          </cell>
          <cell r="M1079">
            <v>-18.787500000000001</v>
          </cell>
        </row>
        <row r="1080">
          <cell r="L1080" t="str">
            <v>Autumn Electricity</v>
          </cell>
          <cell r="M1080">
            <v>-338.97500000000002</v>
          </cell>
        </row>
        <row r="1081">
          <cell r="M1081">
            <v>-220.97916666666669</v>
          </cell>
        </row>
        <row r="1082">
          <cell r="L1082" t="str">
            <v>Dont Account For</v>
          </cell>
          <cell r="M1082">
            <v>-30.833333333333336</v>
          </cell>
        </row>
        <row r="1083">
          <cell r="L1083" t="str">
            <v>Dont Account For</v>
          </cell>
          <cell r="M1083">
            <v>1000</v>
          </cell>
        </row>
        <row r="1084">
          <cell r="L1084" t="str">
            <v>Dont Account For</v>
          </cell>
          <cell r="M1084">
            <v>50</v>
          </cell>
        </row>
        <row r="1085">
          <cell r="L1085" t="str">
            <v>Dont Account For</v>
          </cell>
          <cell r="M1085">
            <v>-25</v>
          </cell>
        </row>
        <row r="1086">
          <cell r="L1086" t="str">
            <v>Eating Out</v>
          </cell>
          <cell r="M1086">
            <v>-15</v>
          </cell>
        </row>
        <row r="1087">
          <cell r="L1087" t="str">
            <v>Dont Account For</v>
          </cell>
          <cell r="M1087">
            <v>75</v>
          </cell>
        </row>
        <row r="1088">
          <cell r="L1088" t="str">
            <v>Dont Account For</v>
          </cell>
          <cell r="M1088">
            <v>-52.987500000000004</v>
          </cell>
        </row>
        <row r="1089">
          <cell r="L1089" t="str">
            <v>Dont Account For</v>
          </cell>
          <cell r="M1089">
            <v>-19.166666666666668</v>
          </cell>
        </row>
        <row r="1090">
          <cell r="L1090" t="str">
            <v>Dont Account For</v>
          </cell>
          <cell r="M1090">
            <v>-12.879166666666666</v>
          </cell>
        </row>
        <row r="1091">
          <cell r="L1091" t="str">
            <v>Computer Hardware</v>
          </cell>
          <cell r="M1091">
            <v>-49.6</v>
          </cell>
        </row>
        <row r="1092">
          <cell r="L1092" t="str">
            <v>Dont Account For</v>
          </cell>
          <cell r="M1092">
            <v>-27.916666666666668</v>
          </cell>
        </row>
        <row r="1093">
          <cell r="L1093" t="str">
            <v>Dont Account For</v>
          </cell>
          <cell r="M1093">
            <v>6</v>
          </cell>
        </row>
        <row r="1094">
          <cell r="L1094" t="str">
            <v>Unknown</v>
          </cell>
          <cell r="M1094">
            <v>-33.179166666666667</v>
          </cell>
        </row>
        <row r="1095">
          <cell r="L1095" t="str">
            <v>Groceries</v>
          </cell>
          <cell r="M1095">
            <v>-108.86666666666666</v>
          </cell>
        </row>
        <row r="1096">
          <cell r="L1096" t="str">
            <v>Wool</v>
          </cell>
          <cell r="M1096">
            <v>-149.1875</v>
          </cell>
        </row>
        <row r="1097">
          <cell r="L1097" t="str">
            <v>Eating Out</v>
          </cell>
          <cell r="M1097">
            <v>-40.533333333333339</v>
          </cell>
        </row>
        <row r="1098">
          <cell r="L1098" t="str">
            <v>Dont Account For</v>
          </cell>
          <cell r="M1098">
            <v>-58.233333333333334</v>
          </cell>
        </row>
        <row r="1099">
          <cell r="L1099" t="str">
            <v>Dont Account For</v>
          </cell>
          <cell r="M1099">
            <v>41.666666666666671</v>
          </cell>
        </row>
        <row r="1100">
          <cell r="L1100" t="str">
            <v>Dont Account For</v>
          </cell>
          <cell r="M1100">
            <v>20.833333333333336</v>
          </cell>
        </row>
        <row r="1101">
          <cell r="L1101" t="str">
            <v>Dont Account For</v>
          </cell>
          <cell r="M1101">
            <v>-29.166666666666668</v>
          </cell>
        </row>
        <row r="1102">
          <cell r="L1102" t="str">
            <v>Dont Account For</v>
          </cell>
          <cell r="M1102">
            <v>-50</v>
          </cell>
        </row>
        <row r="1103">
          <cell r="L1103" t="str">
            <v>Dont Account For</v>
          </cell>
          <cell r="M1103">
            <v>6</v>
          </cell>
        </row>
        <row r="1104">
          <cell r="L1104" t="str">
            <v>Dont Account For</v>
          </cell>
          <cell r="M1104">
            <v>24.33</v>
          </cell>
        </row>
        <row r="1105">
          <cell r="L1105" t="str">
            <v>Gifts</v>
          </cell>
          <cell r="M1105">
            <v>-21.833333333333332</v>
          </cell>
        </row>
        <row r="1106">
          <cell r="L1106" t="str">
            <v>Books, Videos, Magazines</v>
          </cell>
          <cell r="M1106">
            <v>-60.037500000000001</v>
          </cell>
        </row>
        <row r="1107">
          <cell r="L1107" t="str">
            <v>Computer Hardware</v>
          </cell>
          <cell r="M1107">
            <v>-57.658333333333331</v>
          </cell>
        </row>
        <row r="1108">
          <cell r="L1108" t="str">
            <v>Computer Software</v>
          </cell>
          <cell r="M1108">
            <v>-64.63333333333334</v>
          </cell>
        </row>
        <row r="1109">
          <cell r="L1109" t="str">
            <v>Computer Hardware</v>
          </cell>
          <cell r="M1109">
            <v>-2499.8541666666665</v>
          </cell>
        </row>
        <row r="1110">
          <cell r="L1110" t="str">
            <v>Dont Account For</v>
          </cell>
          <cell r="M1110">
            <v>-81.575000000000003</v>
          </cell>
        </row>
        <row r="1111">
          <cell r="L1111" t="str">
            <v>Groceries</v>
          </cell>
          <cell r="M1111">
            <v>-28.987499999999997</v>
          </cell>
        </row>
        <row r="1112">
          <cell r="L1112" t="str">
            <v>Dont Account For</v>
          </cell>
          <cell r="M1112">
            <v>-18.75</v>
          </cell>
        </row>
        <row r="1113">
          <cell r="L1113" t="str">
            <v>Dont Account For</v>
          </cell>
          <cell r="M1113">
            <v>-112.5625</v>
          </cell>
        </row>
        <row r="1114">
          <cell r="L1114" t="str">
            <v>Unknown</v>
          </cell>
          <cell r="M1114">
            <v>-21.7</v>
          </cell>
        </row>
        <row r="1115">
          <cell r="L1115" t="str">
            <v>Petrol</v>
          </cell>
          <cell r="M1115">
            <v>-77.225000000000009</v>
          </cell>
        </row>
        <row r="1116">
          <cell r="L1116" t="str">
            <v>Wool</v>
          </cell>
          <cell r="M1116">
            <v>-17.324999999999999</v>
          </cell>
        </row>
        <row r="1117">
          <cell r="L1117" t="str">
            <v>Dont Account For</v>
          </cell>
          <cell r="M1117">
            <v>-53.041666666666664</v>
          </cell>
        </row>
        <row r="1118">
          <cell r="L1118" t="str">
            <v>Books, Videos, Magazines</v>
          </cell>
          <cell r="M1118">
            <v>-36.166666666666664</v>
          </cell>
        </row>
        <row r="1119">
          <cell r="L1119" t="str">
            <v>Regular Cost</v>
          </cell>
          <cell r="M1119">
            <v>-31.225000000000001</v>
          </cell>
        </row>
        <row r="1120">
          <cell r="L1120" t="str">
            <v>Groceries</v>
          </cell>
          <cell r="M1120">
            <v>-108.30416666666667</v>
          </cell>
        </row>
        <row r="1121">
          <cell r="L1121" t="str">
            <v>Dont Account For</v>
          </cell>
          <cell r="M1121">
            <v>-5.99</v>
          </cell>
        </row>
        <row r="1122">
          <cell r="L1122" t="str">
            <v>Dont Account For</v>
          </cell>
          <cell r="M1122">
            <v>-137.5</v>
          </cell>
        </row>
        <row r="1123">
          <cell r="L1123" t="str">
            <v>Dont Account For</v>
          </cell>
          <cell r="M1123">
            <v>-22.916666666666668</v>
          </cell>
        </row>
        <row r="1124">
          <cell r="L1124" t="str">
            <v>Dont Account For</v>
          </cell>
          <cell r="M1124">
            <v>-30.9</v>
          </cell>
        </row>
        <row r="1125">
          <cell r="L1125" t="str">
            <v>Dont Account For</v>
          </cell>
          <cell r="M1125">
            <v>-33</v>
          </cell>
        </row>
        <row r="1126">
          <cell r="L1126" t="str">
            <v>Dont Account For</v>
          </cell>
          <cell r="M1126">
            <v>-71</v>
          </cell>
        </row>
        <row r="1127">
          <cell r="L1127" t="str">
            <v>Dont Account For</v>
          </cell>
          <cell r="M1127">
            <v>1250</v>
          </cell>
        </row>
        <row r="1128">
          <cell r="L1128" t="str">
            <v>Dont Account For</v>
          </cell>
          <cell r="M1128">
            <v>4166.666666666667</v>
          </cell>
        </row>
        <row r="1129">
          <cell r="L1129" t="str">
            <v>Dont Account For</v>
          </cell>
          <cell r="M1129">
            <v>-16.666666666666668</v>
          </cell>
        </row>
        <row r="1130">
          <cell r="L1130" t="str">
            <v>Dont Account For</v>
          </cell>
          <cell r="M1130">
            <v>-16.666666666666668</v>
          </cell>
        </row>
        <row r="1131">
          <cell r="L1131" t="str">
            <v>VOIP</v>
          </cell>
          <cell r="M1131">
            <v>-14.137500000000001</v>
          </cell>
        </row>
        <row r="1132">
          <cell r="L1132" t="str">
            <v>Dont Account For</v>
          </cell>
          <cell r="M1132">
            <v>-95.679166666666674</v>
          </cell>
        </row>
        <row r="1133">
          <cell r="L1133" t="str">
            <v>Eating Out</v>
          </cell>
          <cell r="M1133">
            <v>-10</v>
          </cell>
        </row>
        <row r="1134">
          <cell r="L1134" t="str">
            <v>Regular Cost</v>
          </cell>
          <cell r="M1134">
            <v>-10</v>
          </cell>
        </row>
        <row r="1135">
          <cell r="L1135" t="str">
            <v>Dont Account For</v>
          </cell>
          <cell r="M1135">
            <v>-20</v>
          </cell>
        </row>
        <row r="1136">
          <cell r="L1136" t="str">
            <v>Eating Out</v>
          </cell>
          <cell r="M1136">
            <v>-15</v>
          </cell>
        </row>
        <row r="1137">
          <cell r="L1137" t="str">
            <v>Dont Account For</v>
          </cell>
          <cell r="M1137">
            <v>-40.104166666666671</v>
          </cell>
        </row>
        <row r="1138">
          <cell r="L1138" t="str">
            <v>Dont Account For</v>
          </cell>
          <cell r="M1138">
            <v>11</v>
          </cell>
        </row>
        <row r="1139">
          <cell r="L1139" t="str">
            <v>Dont Account For</v>
          </cell>
          <cell r="M1139">
            <v>6.95</v>
          </cell>
        </row>
        <row r="1140">
          <cell r="L1140" t="str">
            <v>Dont Account For</v>
          </cell>
          <cell r="M1140">
            <v>-6.95</v>
          </cell>
        </row>
        <row r="1141">
          <cell r="L1141" t="str">
            <v>Dont Account For</v>
          </cell>
          <cell r="M1141">
            <v>6.95</v>
          </cell>
        </row>
        <row r="1142">
          <cell r="L1142" t="str">
            <v>Dont Account For</v>
          </cell>
          <cell r="M1142">
            <v>-36.75</v>
          </cell>
        </row>
        <row r="1143">
          <cell r="L1143" t="str">
            <v>Regular Cost</v>
          </cell>
          <cell r="M1143">
            <v>-29.758333333333336</v>
          </cell>
        </row>
        <row r="1144">
          <cell r="L1144" t="str">
            <v>Eating Out</v>
          </cell>
          <cell r="M1144">
            <v>-68.462500000000006</v>
          </cell>
        </row>
        <row r="1145">
          <cell r="L1145" t="str">
            <v>Groceries</v>
          </cell>
          <cell r="M1145">
            <v>-10</v>
          </cell>
        </row>
        <row r="1146">
          <cell r="L1146" t="str">
            <v>Charity</v>
          </cell>
          <cell r="M1146">
            <v>-20</v>
          </cell>
        </row>
        <row r="1147">
          <cell r="L1147" t="str">
            <v>Chemist</v>
          </cell>
          <cell r="M1147">
            <v>-9.9499999999999993</v>
          </cell>
        </row>
        <row r="1148">
          <cell r="L1148" t="str">
            <v>Chemist</v>
          </cell>
          <cell r="M1148">
            <v>-6.95</v>
          </cell>
        </row>
        <row r="1149">
          <cell r="L1149" t="str">
            <v>Unknown</v>
          </cell>
          <cell r="M1149">
            <v>-20</v>
          </cell>
        </row>
        <row r="1150">
          <cell r="L1150" t="str">
            <v>Dont Account For</v>
          </cell>
          <cell r="M1150">
            <v>23.11</v>
          </cell>
        </row>
        <row r="1151">
          <cell r="L1151" t="str">
            <v>Dont Account For</v>
          </cell>
          <cell r="M1151">
            <v>22.01</v>
          </cell>
        </row>
        <row r="1152">
          <cell r="L1152" t="str">
            <v>Household Items</v>
          </cell>
          <cell r="M1152">
            <v>-15</v>
          </cell>
        </row>
        <row r="1153">
          <cell r="L1153" t="str">
            <v>Clothing</v>
          </cell>
          <cell r="M1153">
            <v>-151.68333333333334</v>
          </cell>
        </row>
        <row r="1154">
          <cell r="L1154" t="str">
            <v>Eating Out</v>
          </cell>
          <cell r="M1154">
            <v>-15.529166666666669</v>
          </cell>
        </row>
        <row r="1155">
          <cell r="L1155" t="str">
            <v>Groceries</v>
          </cell>
          <cell r="M1155">
            <v>-42.94166666666667</v>
          </cell>
        </row>
        <row r="1156">
          <cell r="L1156" t="str">
            <v>Unknown</v>
          </cell>
          <cell r="M1156">
            <v>-291.5333333333333</v>
          </cell>
        </row>
        <row r="1157">
          <cell r="L1157" t="str">
            <v>Unknown</v>
          </cell>
          <cell r="M1157">
            <v>-103.17916666666667</v>
          </cell>
        </row>
        <row r="1158">
          <cell r="L1158" t="str">
            <v>Groceries</v>
          </cell>
          <cell r="M1158">
            <v>-151.10833333333335</v>
          </cell>
        </row>
        <row r="1159">
          <cell r="L1159" t="str">
            <v>Cinema</v>
          </cell>
          <cell r="M1159">
            <v>-32.208333333333336</v>
          </cell>
        </row>
        <row r="1160">
          <cell r="L1160" t="str">
            <v>Dont Account For</v>
          </cell>
          <cell r="M1160">
            <v>-46.112500000000004</v>
          </cell>
        </row>
        <row r="1161">
          <cell r="L1161" t="str">
            <v>Groceries</v>
          </cell>
          <cell r="M1161">
            <v>-71.620833333333337</v>
          </cell>
        </row>
        <row r="1162">
          <cell r="L1162" t="str">
            <v>Dont Account For</v>
          </cell>
          <cell r="M1162">
            <v>20</v>
          </cell>
        </row>
        <row r="1163">
          <cell r="L1163" t="str">
            <v>Eating Out</v>
          </cell>
          <cell r="M1163">
            <v>-17.899999999999999</v>
          </cell>
        </row>
        <row r="1164">
          <cell r="L1164" t="str">
            <v>Clothing</v>
          </cell>
          <cell r="M1164">
            <v>-15</v>
          </cell>
        </row>
        <row r="1165">
          <cell r="L1165" t="str">
            <v>Dont Account For</v>
          </cell>
          <cell r="M1165">
            <v>35.72</v>
          </cell>
        </row>
        <row r="1166">
          <cell r="L1166" t="str">
            <v>Eating Out</v>
          </cell>
          <cell r="M1166">
            <v>-37.958333333333336</v>
          </cell>
        </row>
        <row r="1167">
          <cell r="L1167" t="str">
            <v>Dont Account For</v>
          </cell>
          <cell r="M1167">
            <v>-18.304166666666667</v>
          </cell>
        </row>
        <row r="1168">
          <cell r="L1168" t="str">
            <v>Groceries</v>
          </cell>
          <cell r="M1168">
            <v>-81.129166666666677</v>
          </cell>
        </row>
        <row r="1169">
          <cell r="L1169" t="str">
            <v>Unknown</v>
          </cell>
          <cell r="M1169">
            <v>-160.99583333333334</v>
          </cell>
        </row>
        <row r="1170">
          <cell r="L1170" t="str">
            <v>Unknown</v>
          </cell>
          <cell r="M1170">
            <v>-25.666666666666668</v>
          </cell>
        </row>
        <row r="1171">
          <cell r="L1171" t="str">
            <v>Household Items</v>
          </cell>
          <cell r="M1171">
            <v>-77.779166666666669</v>
          </cell>
        </row>
        <row r="1172">
          <cell r="L1172" t="str">
            <v>Dont Account For</v>
          </cell>
          <cell r="M1172">
            <v>-50.854166666666664</v>
          </cell>
        </row>
        <row r="1173">
          <cell r="L1173" t="str">
            <v>Eating Out</v>
          </cell>
          <cell r="M1173">
            <v>-11</v>
          </cell>
        </row>
        <row r="1174">
          <cell r="L1174" t="str">
            <v>Dont Account For</v>
          </cell>
          <cell r="M1174">
            <v>40</v>
          </cell>
        </row>
        <row r="1175">
          <cell r="L1175" t="str">
            <v>Eating Out</v>
          </cell>
          <cell r="M1175">
            <v>-10</v>
          </cell>
        </row>
        <row r="1176">
          <cell r="L1176" t="str">
            <v>Eating Out</v>
          </cell>
          <cell r="M1176">
            <v>-69.720833333333346</v>
          </cell>
        </row>
        <row r="1177">
          <cell r="L1177" t="str">
            <v>Eating Out</v>
          </cell>
          <cell r="M1177">
            <v>-27.620833333333337</v>
          </cell>
        </row>
        <row r="1178">
          <cell r="L1178" t="str">
            <v>Dont Account For</v>
          </cell>
          <cell r="M1178">
            <v>48.462500000000006</v>
          </cell>
        </row>
        <row r="1179">
          <cell r="L1179" t="str">
            <v>Groceries</v>
          </cell>
          <cell r="M1179">
            <v>-12.366666666666667</v>
          </cell>
        </row>
        <row r="1180">
          <cell r="L1180" t="str">
            <v>Eating Out</v>
          </cell>
          <cell r="M1180">
            <v>-64.487500000000011</v>
          </cell>
        </row>
        <row r="1181">
          <cell r="L1181" t="str">
            <v>Regular Cost</v>
          </cell>
          <cell r="M1181">
            <v>-288.20416666666671</v>
          </cell>
        </row>
        <row r="1182">
          <cell r="L1182" t="str">
            <v>Groceries</v>
          </cell>
          <cell r="M1182">
            <v>-176.50416666666669</v>
          </cell>
        </row>
        <row r="1183">
          <cell r="L1183" t="str">
            <v>Eating Out</v>
          </cell>
          <cell r="M1183">
            <v>-15</v>
          </cell>
        </row>
        <row r="1184">
          <cell r="L1184" t="str">
            <v>Dont Account For</v>
          </cell>
          <cell r="M1184">
            <v>-75.066666666666663</v>
          </cell>
        </row>
        <row r="1185">
          <cell r="L1185" t="str">
            <v>Groceries</v>
          </cell>
          <cell r="M1185">
            <v>-37.175000000000004</v>
          </cell>
        </row>
        <row r="1186">
          <cell r="L1186" t="str">
            <v>Dont Account For</v>
          </cell>
          <cell r="M1186">
            <v>14.6</v>
          </cell>
        </row>
        <row r="1187">
          <cell r="L1187" t="str">
            <v>Household Items</v>
          </cell>
          <cell r="M1187">
            <v>-13.95</v>
          </cell>
        </row>
        <row r="1188">
          <cell r="L1188" t="str">
            <v>Groceries</v>
          </cell>
          <cell r="M1188">
            <v>-75.679166666666674</v>
          </cell>
        </row>
        <row r="1189">
          <cell r="L1189" t="str">
            <v>Dont Account For</v>
          </cell>
          <cell r="M1189">
            <v>-105.69583333333333</v>
          </cell>
        </row>
        <row r="1190">
          <cell r="L1190" t="str">
            <v>Clothing</v>
          </cell>
          <cell r="M1190">
            <v>-82.475000000000009</v>
          </cell>
        </row>
        <row r="1191">
          <cell r="L1191" t="str">
            <v>Groceries</v>
          </cell>
          <cell r="M1191">
            <v>-40.237499999999997</v>
          </cell>
        </row>
        <row r="1192">
          <cell r="L1192" t="str">
            <v>Household Items</v>
          </cell>
          <cell r="M1192">
            <v>-18.483333333333334</v>
          </cell>
        </row>
        <row r="1193">
          <cell r="L1193" t="str">
            <v>Household Items</v>
          </cell>
          <cell r="M1193">
            <v>-109.95</v>
          </cell>
        </row>
        <row r="1194">
          <cell r="L1194" t="str">
            <v>Unknown</v>
          </cell>
          <cell r="M1194">
            <v>-37.270833333333336</v>
          </cell>
        </row>
        <row r="1195">
          <cell r="L1195" t="str">
            <v>Unknown</v>
          </cell>
          <cell r="M1195">
            <v>-38.295833333333334</v>
          </cell>
        </row>
        <row r="1196">
          <cell r="L1196" t="str">
            <v>Unknown</v>
          </cell>
          <cell r="M1196">
            <v>-36.125</v>
          </cell>
        </row>
        <row r="1197">
          <cell r="L1197" t="str">
            <v>Eating Out</v>
          </cell>
          <cell r="M1197">
            <v>-50.458333333333336</v>
          </cell>
        </row>
        <row r="1198">
          <cell r="L1198" t="str">
            <v>Gifts</v>
          </cell>
          <cell r="M1198">
            <v>-80.025000000000006</v>
          </cell>
        </row>
        <row r="1199">
          <cell r="L1199" t="str">
            <v>Groceries</v>
          </cell>
          <cell r="M1199">
            <v>-89.537499999999994</v>
          </cell>
        </row>
        <row r="1200">
          <cell r="L1200" t="str">
            <v>Groceries</v>
          </cell>
          <cell r="M1200">
            <v>-182.53333333333333</v>
          </cell>
        </row>
        <row r="1201">
          <cell r="L1201" t="str">
            <v>Unknown</v>
          </cell>
          <cell r="M1201">
            <v>-20</v>
          </cell>
        </row>
        <row r="1202">
          <cell r="L1202" t="str">
            <v>Unknown</v>
          </cell>
          <cell r="M1202">
            <v>-40</v>
          </cell>
        </row>
        <row r="1203">
          <cell r="L1203" t="str">
            <v>Car City Link</v>
          </cell>
          <cell r="M1203">
            <v>-13.012500000000001</v>
          </cell>
        </row>
        <row r="1204">
          <cell r="L1204" t="str">
            <v>Household Items</v>
          </cell>
          <cell r="M1204">
            <v>-62.470833333333339</v>
          </cell>
        </row>
        <row r="1205">
          <cell r="L1205" t="str">
            <v>Eating Out</v>
          </cell>
          <cell r="M1205">
            <v>-42.770833333333336</v>
          </cell>
        </row>
        <row r="1206">
          <cell r="L1206" t="str">
            <v>Department Store</v>
          </cell>
          <cell r="M1206">
            <v>-149.23333333333335</v>
          </cell>
        </row>
        <row r="1207">
          <cell r="L1207" t="str">
            <v>Dont Account For</v>
          </cell>
          <cell r="M1207">
            <v>20</v>
          </cell>
        </row>
        <row r="1208">
          <cell r="L1208" t="str">
            <v>Dont Account For</v>
          </cell>
          <cell r="M1208">
            <v>40</v>
          </cell>
        </row>
        <row r="1209">
          <cell r="L1209" t="str">
            <v>Dont Account For</v>
          </cell>
          <cell r="M1209">
            <v>-25</v>
          </cell>
        </row>
        <row r="1210">
          <cell r="L1210" t="str">
            <v>Dont Account For</v>
          </cell>
          <cell r="M1210">
            <v>50</v>
          </cell>
        </row>
        <row r="1211">
          <cell r="L1211" t="str">
            <v>Dont Account For</v>
          </cell>
          <cell r="M1211">
            <v>-55.529166666666676</v>
          </cell>
        </row>
        <row r="1212">
          <cell r="L1212" t="str">
            <v>Eating Out</v>
          </cell>
          <cell r="M1212">
            <v>-15.775</v>
          </cell>
        </row>
        <row r="1213">
          <cell r="L1213" t="str">
            <v>Wool</v>
          </cell>
          <cell r="M1213">
            <v>-136.50000000000003</v>
          </cell>
        </row>
        <row r="1214">
          <cell r="L1214" t="str">
            <v>Wool</v>
          </cell>
          <cell r="M1214">
            <v>-49.137500000000003</v>
          </cell>
        </row>
        <row r="1215">
          <cell r="L1215" t="str">
            <v>Wool</v>
          </cell>
          <cell r="M1215">
            <v>-46.108333333333334</v>
          </cell>
        </row>
        <row r="1216">
          <cell r="L1216" t="str">
            <v>Optus Mobile</v>
          </cell>
          <cell r="M1216">
            <v>-421.72916666666669</v>
          </cell>
        </row>
        <row r="1217">
          <cell r="L1217" t="str">
            <v>Optus Home Phone</v>
          </cell>
          <cell r="M1217">
            <v>-134.125</v>
          </cell>
        </row>
        <row r="1218">
          <cell r="L1218" t="str">
            <v>Regular Cost</v>
          </cell>
          <cell r="M1218">
            <v>-310.12916666666666</v>
          </cell>
        </row>
        <row r="1219">
          <cell r="L1219" t="str">
            <v>Regular Cost</v>
          </cell>
          <cell r="M1219">
            <v>-239.8125</v>
          </cell>
        </row>
        <row r="1220">
          <cell r="L1220" t="str">
            <v>Eating Out</v>
          </cell>
          <cell r="M1220">
            <v>-43.558333333333337</v>
          </cell>
        </row>
        <row r="1221">
          <cell r="L1221" t="str">
            <v>Activities</v>
          </cell>
          <cell r="M1221">
            <v>-17.470833333333335</v>
          </cell>
        </row>
        <row r="1222">
          <cell r="L1222" t="str">
            <v>Unknown</v>
          </cell>
          <cell r="M1222">
            <v>-76.320833333333326</v>
          </cell>
        </row>
        <row r="1223">
          <cell r="L1223" t="str">
            <v>Groceries</v>
          </cell>
          <cell r="M1223">
            <v>-79.412500000000009</v>
          </cell>
        </row>
        <row r="1224">
          <cell r="L1224" t="str">
            <v>Dont Account For</v>
          </cell>
          <cell r="M1224">
            <v>11.8</v>
          </cell>
        </row>
        <row r="1225">
          <cell r="L1225" t="str">
            <v>Doctor</v>
          </cell>
          <cell r="M1225">
            <v>-59.400000000000006</v>
          </cell>
        </row>
        <row r="1226">
          <cell r="L1226" t="str">
            <v>Unknown</v>
          </cell>
          <cell r="M1226">
            <v>-106.67916666666666</v>
          </cell>
        </row>
        <row r="1227">
          <cell r="L1227" t="str">
            <v>Eating Out</v>
          </cell>
          <cell r="M1227">
            <v>-48.491666666666667</v>
          </cell>
        </row>
        <row r="1228">
          <cell r="L1228" t="str">
            <v>Groceries</v>
          </cell>
          <cell r="M1228">
            <v>-26.054166666666667</v>
          </cell>
        </row>
        <row r="1229">
          <cell r="L1229" t="str">
            <v>Stationary</v>
          </cell>
          <cell r="M1229">
            <v>-38.166666666666664</v>
          </cell>
        </row>
        <row r="1230">
          <cell r="L1230" t="str">
            <v>Dont Account For</v>
          </cell>
          <cell r="M1230">
            <v>116.42083333333335</v>
          </cell>
        </row>
        <row r="1231">
          <cell r="L1231" t="str">
            <v>Dont Account For</v>
          </cell>
          <cell r="M1231">
            <v>41.666666666666671</v>
          </cell>
        </row>
        <row r="1232">
          <cell r="L1232" t="str">
            <v>Dont Account For</v>
          </cell>
          <cell r="M1232">
            <v>41.666666666666671</v>
          </cell>
        </row>
        <row r="1233">
          <cell r="L1233" t="str">
            <v>Dont Account For</v>
          </cell>
          <cell r="M1233">
            <v>41.666666666666671</v>
          </cell>
        </row>
        <row r="1234">
          <cell r="L1234" t="str">
            <v>Dont Account For</v>
          </cell>
          <cell r="M1234">
            <v>41.666666666666671</v>
          </cell>
        </row>
        <row r="1235">
          <cell r="L1235" t="str">
            <v>Dont Account For</v>
          </cell>
          <cell r="M1235">
            <v>41.666666666666671</v>
          </cell>
        </row>
        <row r="1236">
          <cell r="L1236" t="str">
            <v>Dont Account For</v>
          </cell>
          <cell r="M1236">
            <v>41.666666666666671</v>
          </cell>
        </row>
        <row r="1237">
          <cell r="L1237" t="str">
            <v>Dont Account For</v>
          </cell>
          <cell r="M1237">
            <v>41.666666666666671</v>
          </cell>
        </row>
        <row r="1238">
          <cell r="L1238" t="str">
            <v>Dont Account For</v>
          </cell>
          <cell r="M1238">
            <v>41.666666666666671</v>
          </cell>
        </row>
        <row r="1239">
          <cell r="L1239" t="str">
            <v>Dont Account For</v>
          </cell>
          <cell r="M1239">
            <v>41.666666666666671</v>
          </cell>
        </row>
        <row r="1240">
          <cell r="L1240" t="str">
            <v>Dont Account For</v>
          </cell>
          <cell r="M1240">
            <v>-80.25</v>
          </cell>
        </row>
        <row r="1241">
          <cell r="L1241" t="str">
            <v>Dont Account For</v>
          </cell>
          <cell r="M1241">
            <v>0</v>
          </cell>
        </row>
        <row r="1242">
          <cell r="L1242" t="str">
            <v>Dont Account For</v>
          </cell>
          <cell r="M1242">
            <v>1177.55</v>
          </cell>
        </row>
        <row r="1243">
          <cell r="L1243" t="str">
            <v>Dont Account For</v>
          </cell>
          <cell r="M1243">
            <v>275.87916666666666</v>
          </cell>
        </row>
        <row r="1244">
          <cell r="L1244" t="str">
            <v>Dont Account For</v>
          </cell>
          <cell r="M1244">
            <v>41.666666666666671</v>
          </cell>
        </row>
        <row r="1245">
          <cell r="L1245" t="str">
            <v>Unknown</v>
          </cell>
          <cell r="M1245">
            <v>-120</v>
          </cell>
        </row>
        <row r="1246">
          <cell r="L1246" t="str">
            <v>Dont Account For</v>
          </cell>
          <cell r="M1246">
            <v>120</v>
          </cell>
        </row>
        <row r="1247">
          <cell r="L1247" t="str">
            <v>Dont Account For</v>
          </cell>
          <cell r="M1247">
            <v>100</v>
          </cell>
        </row>
        <row r="1248">
          <cell r="L1248" t="str">
            <v>Unknown</v>
          </cell>
          <cell r="M1248">
            <v>-97.333333333333329</v>
          </cell>
        </row>
        <row r="1249">
          <cell r="L1249" t="str">
            <v>Eating Out</v>
          </cell>
          <cell r="M1249">
            <v>-25.808333333333334</v>
          </cell>
        </row>
        <row r="1250">
          <cell r="L1250" t="str">
            <v>Computer Books</v>
          </cell>
          <cell r="M1250">
            <v>-85.841666666666669</v>
          </cell>
        </row>
        <row r="1251">
          <cell r="L1251" t="str">
            <v>Dont Account For</v>
          </cell>
          <cell r="M1251">
            <v>-16.333333333333336</v>
          </cell>
        </row>
        <row r="1252">
          <cell r="L1252" t="str">
            <v>Dont Account For</v>
          </cell>
          <cell r="M1252">
            <v>-6.25</v>
          </cell>
        </row>
        <row r="1253">
          <cell r="L1253" t="str">
            <v>Dont Account For</v>
          </cell>
          <cell r="M1253">
            <v>-10.833333333333334</v>
          </cell>
        </row>
        <row r="1254">
          <cell r="L1254" t="str">
            <v>Dont Account For</v>
          </cell>
          <cell r="M1254">
            <v>-16.666666666666668</v>
          </cell>
        </row>
        <row r="1255">
          <cell r="L1255" t="str">
            <v>Bank Charges</v>
          </cell>
          <cell r="M1255">
            <v>-1.5</v>
          </cell>
        </row>
        <row r="1256">
          <cell r="L1256" t="str">
            <v>Bank Charges</v>
          </cell>
          <cell r="M1256">
            <v>-40</v>
          </cell>
        </row>
        <row r="1257">
          <cell r="L1257" t="str">
            <v>Groceries</v>
          </cell>
          <cell r="M1257">
            <v>-32.200000000000003</v>
          </cell>
        </row>
        <row r="1258">
          <cell r="L1258" t="str">
            <v>Eating Out</v>
          </cell>
          <cell r="M1258">
            <v>-26.074999999999999</v>
          </cell>
        </row>
        <row r="1259">
          <cell r="L1259" t="str">
            <v>Doctor</v>
          </cell>
          <cell r="M1259">
            <v>-67.016666666666666</v>
          </cell>
        </row>
        <row r="1260">
          <cell r="L1260" t="str">
            <v>Unknown</v>
          </cell>
          <cell r="M1260">
            <v>-24.379166666666666</v>
          </cell>
        </row>
        <row r="1261">
          <cell r="L1261" t="str">
            <v>Doctor</v>
          </cell>
          <cell r="M1261">
            <v>-59.704166666666666</v>
          </cell>
        </row>
        <row r="1262">
          <cell r="L1262" t="str">
            <v>Dont Account For</v>
          </cell>
          <cell r="M1262">
            <v>-16.666666666666668</v>
          </cell>
        </row>
        <row r="1263">
          <cell r="L1263" t="str">
            <v>Groceries</v>
          </cell>
          <cell r="M1263">
            <v>-31.966666666666669</v>
          </cell>
        </row>
        <row r="1264">
          <cell r="L1264" t="str">
            <v>Dont Account For</v>
          </cell>
          <cell r="M1264">
            <v>-20.945833333333336</v>
          </cell>
        </row>
        <row r="1265">
          <cell r="L1265" t="str">
            <v>Unknown</v>
          </cell>
          <cell r="M1265">
            <v>-9.7958333333333343</v>
          </cell>
        </row>
        <row r="1266">
          <cell r="L1266" t="str">
            <v>Music</v>
          </cell>
          <cell r="M1266">
            <v>-36.683333333333337</v>
          </cell>
        </row>
        <row r="1267">
          <cell r="L1267" t="str">
            <v>Regular Cost</v>
          </cell>
          <cell r="M1267">
            <v>-119.24166666666667</v>
          </cell>
        </row>
        <row r="1268">
          <cell r="L1268" t="str">
            <v>Groceries</v>
          </cell>
          <cell r="M1268">
            <v>-17.945833333333333</v>
          </cell>
        </row>
        <row r="1269">
          <cell r="L1269" t="str">
            <v>Doctor</v>
          </cell>
          <cell r="M1269">
            <v>-12.862500000000001</v>
          </cell>
        </row>
        <row r="1270">
          <cell r="L1270" t="str">
            <v>Unknown</v>
          </cell>
          <cell r="M1270">
            <v>-26.829166666666669</v>
          </cell>
        </row>
        <row r="1271">
          <cell r="L1271" t="str">
            <v>Eating Out</v>
          </cell>
          <cell r="M1271">
            <v>-46.179166666666667</v>
          </cell>
        </row>
        <row r="1272">
          <cell r="L1272" t="str">
            <v>Uniforms</v>
          </cell>
          <cell r="M1272">
            <v>-244.99583333333334</v>
          </cell>
        </row>
        <row r="1273">
          <cell r="L1273" t="str">
            <v>Groceries</v>
          </cell>
          <cell r="M1273">
            <v>-126.325</v>
          </cell>
        </row>
        <row r="1274">
          <cell r="L1274" t="str">
            <v>Chemist</v>
          </cell>
          <cell r="M1274">
            <v>-16.045833333333334</v>
          </cell>
        </row>
        <row r="1275">
          <cell r="L1275" t="str">
            <v>Dont Account For</v>
          </cell>
          <cell r="M1275">
            <v>41.666666666666671</v>
          </cell>
        </row>
        <row r="1276">
          <cell r="L1276" t="str">
            <v>Dont Account For</v>
          </cell>
          <cell r="M1276">
            <v>-16.666666666666668</v>
          </cell>
        </row>
        <row r="1277">
          <cell r="L1277" t="str">
            <v>Dont Account For</v>
          </cell>
          <cell r="M1277">
            <v>5.5</v>
          </cell>
        </row>
        <row r="1278">
          <cell r="L1278" t="str">
            <v>Bank Charges</v>
          </cell>
          <cell r="M1278">
            <v>-13</v>
          </cell>
        </row>
        <row r="1279">
          <cell r="L1279" t="str">
            <v>Minerva Rent</v>
          </cell>
          <cell r="M1279">
            <v>0</v>
          </cell>
        </row>
        <row r="1280">
          <cell r="L1280" t="str">
            <v>Minerva Rent</v>
          </cell>
          <cell r="M1280">
            <v>2823.53</v>
          </cell>
        </row>
        <row r="1281">
          <cell r="L1281" t="str">
            <v>Minerva Agent</v>
          </cell>
          <cell r="M1281">
            <v>-219.12</v>
          </cell>
        </row>
        <row r="1282">
          <cell r="L1282" t="str">
            <v>Minerva Agent</v>
          </cell>
          <cell r="M1282">
            <v>-21.91</v>
          </cell>
        </row>
        <row r="1283">
          <cell r="L1283" t="str">
            <v>Minerva Maintenance</v>
          </cell>
          <cell r="M1283">
            <v>-454.56</v>
          </cell>
        </row>
        <row r="1284">
          <cell r="L1284" t="str">
            <v>Minerva Agent</v>
          </cell>
          <cell r="M1284">
            <v>-45.44</v>
          </cell>
        </row>
        <row r="1285">
          <cell r="L1285" t="str">
            <v>Medicare Refund</v>
          </cell>
          <cell r="M1285">
            <v>32.1</v>
          </cell>
        </row>
        <row r="1286">
          <cell r="L1286" t="str">
            <v>Bank Charges</v>
          </cell>
          <cell r="M1286">
            <v>-5</v>
          </cell>
        </row>
        <row r="1287">
          <cell r="L1287" t="str">
            <v>Regular Cost</v>
          </cell>
          <cell r="M1287">
            <v>-167.95</v>
          </cell>
        </row>
        <row r="1288">
          <cell r="L1288" t="str">
            <v>Dont Account For</v>
          </cell>
          <cell r="M1288">
            <v>0.01</v>
          </cell>
        </row>
        <row r="1289">
          <cell r="L1289" t="str">
            <v>Car Fines</v>
          </cell>
          <cell r="M1289">
            <v>-61.333333333333329</v>
          </cell>
        </row>
        <row r="1290">
          <cell r="L1290" t="str">
            <v>Chemist</v>
          </cell>
          <cell r="M1290">
            <v>-12.754166666666666</v>
          </cell>
        </row>
        <row r="1291">
          <cell r="L1291" t="str">
            <v>Unknown</v>
          </cell>
          <cell r="M1291">
            <v>-40.725000000000001</v>
          </cell>
        </row>
        <row r="1292">
          <cell r="L1292" t="str">
            <v>Computer Books</v>
          </cell>
          <cell r="M1292">
            <v>-28.162500000000001</v>
          </cell>
        </row>
        <row r="1293">
          <cell r="L1293" t="str">
            <v>Regular Cost</v>
          </cell>
          <cell r="M1293">
            <v>-200</v>
          </cell>
        </row>
        <row r="1294">
          <cell r="L1294" t="str">
            <v>Dont Account For</v>
          </cell>
          <cell r="M1294">
            <v>41.666666666666671</v>
          </cell>
        </row>
        <row r="1295">
          <cell r="L1295" t="str">
            <v>Dont Account For</v>
          </cell>
          <cell r="M1295">
            <v>-40</v>
          </cell>
        </row>
        <row r="1296">
          <cell r="L1296" t="str">
            <v>Unknown</v>
          </cell>
          <cell r="M1296">
            <v>-240</v>
          </cell>
        </row>
        <row r="1297">
          <cell r="L1297" t="str">
            <v>Regular Cost</v>
          </cell>
          <cell r="M1297">
            <v>-61.658333333333331</v>
          </cell>
        </row>
        <row r="1298">
          <cell r="L1298" t="str">
            <v>Petrol</v>
          </cell>
          <cell r="M1298">
            <v>-83.904166666666669</v>
          </cell>
        </row>
        <row r="1299">
          <cell r="L1299" t="str">
            <v>Regular Cost</v>
          </cell>
          <cell r="M1299">
            <v>-1270.325</v>
          </cell>
        </row>
        <row r="1300">
          <cell r="L1300" t="str">
            <v>Dont Account For</v>
          </cell>
          <cell r="M1300">
            <v>10416.666666666668</v>
          </cell>
        </row>
        <row r="1301">
          <cell r="L1301" t="str">
            <v>Dont Account For</v>
          </cell>
          <cell r="M1301">
            <v>3333.3333333333335</v>
          </cell>
        </row>
        <row r="1302">
          <cell r="L1302" t="str">
            <v>Dont Account For</v>
          </cell>
          <cell r="M1302">
            <v>240</v>
          </cell>
        </row>
        <row r="1303">
          <cell r="L1303" t="str">
            <v>Dont Account For</v>
          </cell>
          <cell r="M1303">
            <v>-83.333333333333343</v>
          </cell>
        </row>
        <row r="1304">
          <cell r="L1304" t="str">
            <v>Dont Account For</v>
          </cell>
          <cell r="M1304">
            <v>-41.666666666666671</v>
          </cell>
        </row>
        <row r="1305">
          <cell r="L1305" t="str">
            <v>Dont Account For</v>
          </cell>
          <cell r="M1305">
            <v>24.55</v>
          </cell>
        </row>
        <row r="1306">
          <cell r="L1306" t="str">
            <v>Unknown</v>
          </cell>
          <cell r="M1306">
            <v>-29.65</v>
          </cell>
        </row>
        <row r="1307">
          <cell r="L1307" t="str">
            <v>Dont Account For</v>
          </cell>
          <cell r="M1307">
            <v>-24.55</v>
          </cell>
        </row>
        <row r="1308">
          <cell r="L1308" t="str">
            <v>Bank Charges</v>
          </cell>
          <cell r="M1308">
            <v>-329.93333333333334</v>
          </cell>
        </row>
        <row r="1309">
          <cell r="L1309" t="str">
            <v>Dont Account For</v>
          </cell>
          <cell r="M1309">
            <v>-24.55</v>
          </cell>
        </row>
        <row r="1310">
          <cell r="L1310" t="str">
            <v>Dont Account For</v>
          </cell>
          <cell r="M1310">
            <v>24.55</v>
          </cell>
        </row>
        <row r="1311">
          <cell r="L1311" t="str">
            <v>Dont Account For</v>
          </cell>
          <cell r="M1311">
            <v>41.666666666666671</v>
          </cell>
        </row>
        <row r="1312">
          <cell r="L1312" t="str">
            <v>Dont Account For</v>
          </cell>
          <cell r="M1312">
            <v>41.666666666666671</v>
          </cell>
        </row>
        <row r="1313">
          <cell r="L1313" t="str">
            <v>Dont Account For</v>
          </cell>
          <cell r="M1313">
            <v>41.666666666666671</v>
          </cell>
        </row>
        <row r="1314">
          <cell r="L1314" t="str">
            <v>Dont Account For</v>
          </cell>
          <cell r="M1314">
            <v>-208.33333333333334</v>
          </cell>
        </row>
        <row r="1315">
          <cell r="L1315" t="str">
            <v>Dont Account For</v>
          </cell>
          <cell r="M1315">
            <v>1166.6666666666667</v>
          </cell>
        </row>
        <row r="1316">
          <cell r="L1316" t="str">
            <v>Dont Account For</v>
          </cell>
          <cell r="M1316">
            <v>170</v>
          </cell>
        </row>
        <row r="1317">
          <cell r="L1317" t="str">
            <v>Dont Account For</v>
          </cell>
          <cell r="M1317">
            <v>0</v>
          </cell>
        </row>
        <row r="1318">
          <cell r="L1318" t="str">
            <v>Dont Account For</v>
          </cell>
          <cell r="M1318">
            <v>-41.666666666666671</v>
          </cell>
        </row>
        <row r="1319">
          <cell r="L1319" t="str">
            <v>Dont Account For</v>
          </cell>
          <cell r="M1319">
            <v>-41.666666666666671</v>
          </cell>
        </row>
        <row r="1320">
          <cell r="L1320" t="str">
            <v>Unknown</v>
          </cell>
          <cell r="M1320">
            <v>-41.666666666666671</v>
          </cell>
        </row>
        <row r="1321">
          <cell r="L1321" t="str">
            <v>Dont Account For</v>
          </cell>
          <cell r="M1321">
            <v>-10.416666666666668</v>
          </cell>
        </row>
        <row r="1322">
          <cell r="L1322" t="str">
            <v>Gifts</v>
          </cell>
          <cell r="M1322">
            <v>-10</v>
          </cell>
        </row>
        <row r="1323">
          <cell r="L1323" t="str">
            <v>Dont Account For</v>
          </cell>
          <cell r="M1323">
            <v>-20.833333333333336</v>
          </cell>
        </row>
        <row r="1324">
          <cell r="L1324" t="str">
            <v>Dont Account For</v>
          </cell>
          <cell r="M1324">
            <v>5.5</v>
          </cell>
        </row>
        <row r="1325">
          <cell r="L1325" t="str">
            <v>Groceries</v>
          </cell>
          <cell r="M1325">
            <v>-76.033333333333331</v>
          </cell>
        </row>
        <row r="1326">
          <cell r="L1326" t="str">
            <v>Regular Cost</v>
          </cell>
          <cell r="M1326">
            <v>-40</v>
          </cell>
        </row>
        <row r="1327">
          <cell r="L1327" t="str">
            <v>Medicare Refund</v>
          </cell>
          <cell r="M1327">
            <v>32.1</v>
          </cell>
        </row>
        <row r="1328">
          <cell r="L1328" t="str">
            <v>Dont Account For</v>
          </cell>
          <cell r="M1328">
            <v>-580</v>
          </cell>
        </row>
        <row r="1329">
          <cell r="L1329" t="str">
            <v>Medicare Refund</v>
          </cell>
          <cell r="M1329">
            <v>32.1</v>
          </cell>
        </row>
        <row r="1330">
          <cell r="L1330" t="str">
            <v>Groceries</v>
          </cell>
          <cell r="M1330">
            <v>-131.57916666666668</v>
          </cell>
        </row>
        <row r="1331">
          <cell r="L1331" t="str">
            <v>Wool</v>
          </cell>
          <cell r="M1331">
            <v>-104.24166666666667</v>
          </cell>
        </row>
        <row r="1332">
          <cell r="L1332" t="str">
            <v>Doctor</v>
          </cell>
          <cell r="M1332">
            <v>-67.887500000000003</v>
          </cell>
        </row>
        <row r="1333">
          <cell r="L1333" t="str">
            <v>Groceries</v>
          </cell>
          <cell r="M1333">
            <v>-76.675000000000011</v>
          </cell>
        </row>
        <row r="1334">
          <cell r="L1334" t="str">
            <v>Holiday</v>
          </cell>
          <cell r="M1334">
            <v>-248.87916666666666</v>
          </cell>
        </row>
        <row r="1335">
          <cell r="L1335" t="str">
            <v>Computer Hardware</v>
          </cell>
          <cell r="M1335">
            <v>-60.5</v>
          </cell>
        </row>
        <row r="1336">
          <cell r="L1336" t="str">
            <v>Bank Charges</v>
          </cell>
          <cell r="M1336">
            <v>-9.1541666666666668</v>
          </cell>
        </row>
        <row r="1337">
          <cell r="L1337" t="str">
            <v>Dont Account For</v>
          </cell>
          <cell r="M1337">
            <v>-58.333333333333336</v>
          </cell>
        </row>
        <row r="1338">
          <cell r="L1338" t="str">
            <v>Dont Account For</v>
          </cell>
          <cell r="M1338">
            <v>-29.166666666666668</v>
          </cell>
        </row>
        <row r="1339">
          <cell r="L1339" t="str">
            <v>Dont Account For</v>
          </cell>
          <cell r="M1339">
            <v>-20.833333333333336</v>
          </cell>
        </row>
        <row r="1340">
          <cell r="L1340" t="str">
            <v>Dont Account For</v>
          </cell>
          <cell r="M1340">
            <v>-6.25</v>
          </cell>
        </row>
        <row r="1341">
          <cell r="L1341" t="str">
            <v>Dont Account For</v>
          </cell>
          <cell r="M1341">
            <v>-16.666666666666668</v>
          </cell>
        </row>
        <row r="1342">
          <cell r="L1342" t="str">
            <v>Dont Account For</v>
          </cell>
          <cell r="M1342">
            <v>-6.25</v>
          </cell>
        </row>
        <row r="1343">
          <cell r="L1343" t="str">
            <v>Dont Account For</v>
          </cell>
          <cell r="M1343">
            <v>166.66666666666669</v>
          </cell>
        </row>
        <row r="1344">
          <cell r="L1344" t="str">
            <v>Dont Account For</v>
          </cell>
          <cell r="M1344">
            <v>-35.416666666666671</v>
          </cell>
        </row>
        <row r="1345">
          <cell r="L1345" t="str">
            <v>Eating Out</v>
          </cell>
          <cell r="M1345">
            <v>-50.833333333333336</v>
          </cell>
        </row>
        <row r="1346">
          <cell r="L1346" t="str">
            <v>Department Store</v>
          </cell>
          <cell r="M1346">
            <v>-31.56666666666667</v>
          </cell>
        </row>
        <row r="1347">
          <cell r="L1347" t="str">
            <v>Books, Videos, Magazines</v>
          </cell>
          <cell r="M1347">
            <v>-45.537500000000001</v>
          </cell>
        </row>
        <row r="1348">
          <cell r="L1348" t="str">
            <v>Holiday</v>
          </cell>
          <cell r="M1348">
            <v>-18.291666666666668</v>
          </cell>
        </row>
        <row r="1349">
          <cell r="L1349" t="str">
            <v>Holiday</v>
          </cell>
          <cell r="M1349">
            <v>-6.3708333333333336</v>
          </cell>
        </row>
        <row r="1350">
          <cell r="L1350" t="str">
            <v>Holiday</v>
          </cell>
          <cell r="M1350">
            <v>-26.6</v>
          </cell>
        </row>
        <row r="1351">
          <cell r="L1351" t="str">
            <v>Holiday</v>
          </cell>
          <cell r="M1351">
            <v>-82.770833333333343</v>
          </cell>
        </row>
        <row r="1352">
          <cell r="L1352" t="str">
            <v>Dont Account For</v>
          </cell>
          <cell r="M1352">
            <v>-177.08333333333334</v>
          </cell>
        </row>
        <row r="1353">
          <cell r="L1353" t="str">
            <v>Unknown</v>
          </cell>
          <cell r="M1353">
            <v>-18.395833333333332</v>
          </cell>
        </row>
        <row r="1354">
          <cell r="L1354" t="str">
            <v>Holiday</v>
          </cell>
          <cell r="M1354">
            <v>-83.341666666666669</v>
          </cell>
        </row>
        <row r="1355">
          <cell r="L1355" t="str">
            <v>Holiday</v>
          </cell>
          <cell r="M1355">
            <v>-24.654166666666669</v>
          </cell>
        </row>
        <row r="1356">
          <cell r="L1356" t="str">
            <v>Unknown</v>
          </cell>
          <cell r="M1356">
            <v>-33.795833333333334</v>
          </cell>
        </row>
        <row r="1357">
          <cell r="L1357" t="str">
            <v>Regular Cost</v>
          </cell>
          <cell r="M1357">
            <v>-82.787500000000009</v>
          </cell>
        </row>
        <row r="1358">
          <cell r="L1358" t="str">
            <v>Holiday</v>
          </cell>
          <cell r="M1358">
            <v>-52.920833333333334</v>
          </cell>
        </row>
        <row r="1359">
          <cell r="L1359" t="str">
            <v>Holiday</v>
          </cell>
          <cell r="M1359">
            <v>-14.787500000000001</v>
          </cell>
        </row>
        <row r="1360">
          <cell r="L1360" t="str">
            <v>Holiday</v>
          </cell>
          <cell r="M1360">
            <v>-71.962500000000006</v>
          </cell>
        </row>
        <row r="1361">
          <cell r="L1361" t="str">
            <v>Holiday</v>
          </cell>
          <cell r="M1361">
            <v>-22.733333333333334</v>
          </cell>
        </row>
        <row r="1362">
          <cell r="L1362" t="str">
            <v>Holiday</v>
          </cell>
          <cell r="M1362">
            <v>-73.75</v>
          </cell>
        </row>
        <row r="1363">
          <cell r="L1363" t="str">
            <v>Holiday</v>
          </cell>
          <cell r="M1363">
            <v>-30.504166666666666</v>
          </cell>
        </row>
        <row r="1364">
          <cell r="L1364" t="str">
            <v>Household Items</v>
          </cell>
          <cell r="M1364">
            <v>-172.25416666666669</v>
          </cell>
        </row>
        <row r="1365">
          <cell r="L1365" t="str">
            <v>Gifts</v>
          </cell>
          <cell r="M1365">
            <v>-69.495833333333337</v>
          </cell>
        </row>
        <row r="1366">
          <cell r="L1366" t="str">
            <v>Dont Account For</v>
          </cell>
          <cell r="M1366">
            <v>33.333333333333336</v>
          </cell>
        </row>
        <row r="1367">
          <cell r="L1367" t="str">
            <v>Dont Account For</v>
          </cell>
          <cell r="M1367">
            <v>-40.833333333333336</v>
          </cell>
        </row>
        <row r="1368">
          <cell r="L1368" t="str">
            <v>Dont Account For</v>
          </cell>
          <cell r="M1368">
            <v>-17.5</v>
          </cell>
        </row>
        <row r="1369">
          <cell r="L1369" t="str">
            <v>Dont Account For</v>
          </cell>
          <cell r="M1369">
            <v>-16.666666666666668</v>
          </cell>
        </row>
        <row r="1370">
          <cell r="L1370" t="str">
            <v>Dont Account For</v>
          </cell>
          <cell r="M1370">
            <v>-145.83333333333334</v>
          </cell>
        </row>
        <row r="1371">
          <cell r="L1371" t="str">
            <v>Dont Account For</v>
          </cell>
          <cell r="M1371">
            <v>-84.420833333333348</v>
          </cell>
        </row>
        <row r="1372">
          <cell r="L1372" t="str">
            <v>Dont Account For</v>
          </cell>
          <cell r="M1372">
            <v>-116.66666666666667</v>
          </cell>
        </row>
        <row r="1373">
          <cell r="L1373" t="str">
            <v>Computer Software</v>
          </cell>
          <cell r="M1373">
            <v>-140.83333333333334</v>
          </cell>
        </row>
        <row r="1374">
          <cell r="L1374" t="str">
            <v>Computer Software</v>
          </cell>
          <cell r="M1374">
            <v>-103.75</v>
          </cell>
        </row>
        <row r="1375">
          <cell r="L1375" t="str">
            <v>Groceries</v>
          </cell>
          <cell r="M1375">
            <v>-46.579166666666673</v>
          </cell>
        </row>
        <row r="1376">
          <cell r="L1376" t="str">
            <v>Holiday</v>
          </cell>
          <cell r="M1376">
            <v>-42.020833333333336</v>
          </cell>
        </row>
        <row r="1377">
          <cell r="L1377" t="str">
            <v>Holiday</v>
          </cell>
          <cell r="M1377">
            <v>-62.587500000000006</v>
          </cell>
        </row>
        <row r="1378">
          <cell r="L1378" t="str">
            <v>VOIP</v>
          </cell>
          <cell r="M1378">
            <v>-43.029166666666669</v>
          </cell>
        </row>
        <row r="1379">
          <cell r="L1379" t="str">
            <v>Holiday</v>
          </cell>
          <cell r="M1379">
            <v>-71.316666666666663</v>
          </cell>
        </row>
        <row r="1380">
          <cell r="L1380" t="str">
            <v>Holiday</v>
          </cell>
          <cell r="M1380">
            <v>-70.75833333333334</v>
          </cell>
        </row>
        <row r="1381">
          <cell r="L1381" t="str">
            <v>Dont Account For</v>
          </cell>
          <cell r="M1381">
            <v>-91.666666666666671</v>
          </cell>
        </row>
        <row r="1382">
          <cell r="L1382" t="str">
            <v>Activities</v>
          </cell>
          <cell r="M1382">
            <v>-41.666666666666671</v>
          </cell>
        </row>
        <row r="1383">
          <cell r="L1383" t="str">
            <v>Dont Account For</v>
          </cell>
          <cell r="M1383">
            <v>-163.08333333333334</v>
          </cell>
        </row>
        <row r="1384">
          <cell r="L1384" t="str">
            <v>Dont Account For</v>
          </cell>
          <cell r="M1384">
            <v>-25</v>
          </cell>
        </row>
        <row r="1385">
          <cell r="L1385" t="str">
            <v>Minerva WaterSewage</v>
          </cell>
          <cell r="M1385">
            <v>-118.12083333333334</v>
          </cell>
        </row>
        <row r="1386">
          <cell r="L1386" t="str">
            <v>Holiday</v>
          </cell>
          <cell r="M1386">
            <v>-48.808333333333337</v>
          </cell>
        </row>
        <row r="1387">
          <cell r="L1387" t="str">
            <v>Dont Account For</v>
          </cell>
          <cell r="M1387">
            <v>-55.041666666666664</v>
          </cell>
        </row>
        <row r="1388">
          <cell r="L1388" t="str">
            <v>Dont Account For</v>
          </cell>
          <cell r="M1388">
            <v>41.666666666666671</v>
          </cell>
        </row>
        <row r="1389">
          <cell r="L1389" t="str">
            <v>Dont Account For</v>
          </cell>
          <cell r="M1389">
            <v>-51.666666666666671</v>
          </cell>
        </row>
        <row r="1390">
          <cell r="L1390" t="str">
            <v>Dont Account For</v>
          </cell>
          <cell r="M1390">
            <v>-100.41666666666667</v>
          </cell>
        </row>
        <row r="1391">
          <cell r="L1391" t="str">
            <v>Dont Account For</v>
          </cell>
          <cell r="M1391">
            <v>-152.75000000000003</v>
          </cell>
        </row>
        <row r="1392">
          <cell r="L1392" t="str">
            <v>Dont Account For</v>
          </cell>
          <cell r="M1392">
            <v>-79.166666666666671</v>
          </cell>
        </row>
        <row r="1393">
          <cell r="L1393" t="str">
            <v>Unknown</v>
          </cell>
          <cell r="M1393">
            <v>-41.666666666666671</v>
          </cell>
        </row>
        <row r="1394">
          <cell r="L1394" t="str">
            <v>Dont Account For</v>
          </cell>
          <cell r="M1394">
            <v>-833.33333333333337</v>
          </cell>
        </row>
        <row r="1395">
          <cell r="L1395" t="str">
            <v>Dont Account For</v>
          </cell>
          <cell r="M1395">
            <v>-6.25</v>
          </cell>
        </row>
        <row r="1396">
          <cell r="L1396" t="str">
            <v>Dont Account For</v>
          </cell>
          <cell r="M1396">
            <v>-83.333333333333343</v>
          </cell>
        </row>
        <row r="1397">
          <cell r="L1397" t="str">
            <v>Unknown</v>
          </cell>
          <cell r="M1397">
            <v>-41.666666666666671</v>
          </cell>
        </row>
        <row r="1398">
          <cell r="L1398" t="str">
            <v>Holiday</v>
          </cell>
          <cell r="M1398">
            <v>-247.44166666666669</v>
          </cell>
        </row>
        <row r="1399">
          <cell r="L1399" t="str">
            <v>Dont Account For</v>
          </cell>
          <cell r="M1399">
            <v>-19.166666666666668</v>
          </cell>
        </row>
        <row r="1400">
          <cell r="L1400" t="str">
            <v>Dont Account For</v>
          </cell>
          <cell r="M1400">
            <v>-214.58333333333334</v>
          </cell>
        </row>
        <row r="1401">
          <cell r="L1401" t="str">
            <v>Minerva Rent</v>
          </cell>
          <cell r="M1401">
            <v>0</v>
          </cell>
        </row>
        <row r="1402">
          <cell r="L1402" t="str">
            <v>Minerva Rent</v>
          </cell>
          <cell r="M1402">
            <v>1411.76</v>
          </cell>
        </row>
        <row r="1403">
          <cell r="L1403" t="str">
            <v>Minerva Agent</v>
          </cell>
          <cell r="M1403">
            <v>-113.24</v>
          </cell>
        </row>
        <row r="1404">
          <cell r="L1404" t="str">
            <v>Minerva Agent</v>
          </cell>
          <cell r="M1404">
            <v>-11.32</v>
          </cell>
        </row>
        <row r="1405">
          <cell r="L1405" t="str">
            <v>Clothing</v>
          </cell>
          <cell r="M1405">
            <v>-114.16666666666667</v>
          </cell>
        </row>
        <row r="1406">
          <cell r="L1406" t="str">
            <v>Dont Account For</v>
          </cell>
          <cell r="M1406">
            <v>-106.25</v>
          </cell>
        </row>
        <row r="1407">
          <cell r="L1407" t="str">
            <v>Dont Account For</v>
          </cell>
          <cell r="M1407">
            <v>-38.333333333333336</v>
          </cell>
        </row>
        <row r="1408">
          <cell r="L1408" t="str">
            <v>Dont Account For</v>
          </cell>
          <cell r="M1408">
            <v>-81.25</v>
          </cell>
        </row>
        <row r="1409">
          <cell r="L1409" t="str">
            <v>Optus Home Phone</v>
          </cell>
          <cell r="M1409">
            <v>-83.175000000000011</v>
          </cell>
        </row>
        <row r="1410">
          <cell r="L1410" t="str">
            <v>Optus Mobile</v>
          </cell>
          <cell r="M1410">
            <v>-97.170833333333334</v>
          </cell>
        </row>
        <row r="1411">
          <cell r="L1411" t="str">
            <v>Autumn WaterSewage</v>
          </cell>
          <cell r="M1411">
            <v>-181.6</v>
          </cell>
        </row>
        <row r="1412">
          <cell r="L1412" t="str">
            <v>Dont Account For</v>
          </cell>
          <cell r="M1412">
            <v>41.666666666666671</v>
          </cell>
        </row>
        <row r="1413">
          <cell r="L1413" t="str">
            <v>Dont Account For</v>
          </cell>
          <cell r="M1413">
            <v>41.666666666666671</v>
          </cell>
        </row>
        <row r="1414">
          <cell r="L1414" t="str">
            <v>Dont Account For</v>
          </cell>
          <cell r="M1414">
            <v>41.666666666666671</v>
          </cell>
        </row>
        <row r="1415">
          <cell r="L1415" t="str">
            <v>Dont Account For</v>
          </cell>
          <cell r="M1415">
            <v>41.666666666666671</v>
          </cell>
        </row>
        <row r="1416">
          <cell r="L1416" t="str">
            <v>Dont Account For</v>
          </cell>
          <cell r="M1416">
            <v>166.66666666666669</v>
          </cell>
        </row>
        <row r="1417">
          <cell r="L1417" t="str">
            <v>Dont Account For</v>
          </cell>
          <cell r="M1417">
            <v>41.666666666666671</v>
          </cell>
        </row>
        <row r="1418">
          <cell r="L1418" t="str">
            <v>Dont Account For</v>
          </cell>
          <cell r="M1418">
            <v>41.666666666666671</v>
          </cell>
        </row>
        <row r="1419">
          <cell r="L1419" t="str">
            <v>Dont Account For</v>
          </cell>
          <cell r="M1419">
            <v>41.666666666666671</v>
          </cell>
        </row>
        <row r="1420">
          <cell r="L1420" t="str">
            <v>Dont Account For</v>
          </cell>
          <cell r="M1420">
            <v>41.666666666666671</v>
          </cell>
        </row>
        <row r="1421">
          <cell r="L1421" t="str">
            <v>Dont Account For</v>
          </cell>
          <cell r="M1421">
            <v>41.666666666666671</v>
          </cell>
        </row>
        <row r="1422">
          <cell r="L1422" t="str">
            <v>Dont Account For</v>
          </cell>
          <cell r="M1422">
            <v>41.666666666666671</v>
          </cell>
        </row>
        <row r="1423">
          <cell r="L1423" t="str">
            <v>Dont Account For</v>
          </cell>
          <cell r="M1423">
            <v>41.666666666666671</v>
          </cell>
        </row>
        <row r="1424">
          <cell r="L1424" t="str">
            <v>Dont Account For</v>
          </cell>
          <cell r="M1424">
            <v>-31.25</v>
          </cell>
        </row>
        <row r="1425">
          <cell r="L1425" t="str">
            <v>Dont Account For</v>
          </cell>
          <cell r="M1425">
            <v>-73.8125</v>
          </cell>
        </row>
        <row r="1426">
          <cell r="L1426" t="str">
            <v>Dont Account For</v>
          </cell>
          <cell r="M1426">
            <v>-52.916666666666671</v>
          </cell>
        </row>
        <row r="1427">
          <cell r="L1427" t="str">
            <v>Dont Account For</v>
          </cell>
          <cell r="M1427">
            <v>-70</v>
          </cell>
        </row>
        <row r="1428">
          <cell r="L1428" t="str">
            <v>Dont Account For</v>
          </cell>
          <cell r="M1428">
            <v>-152.83333333333334</v>
          </cell>
        </row>
        <row r="1429">
          <cell r="L1429" t="str">
            <v>Computer Hardware</v>
          </cell>
          <cell r="M1429">
            <v>-250</v>
          </cell>
        </row>
        <row r="1430">
          <cell r="L1430" t="str">
            <v>Dont Account For</v>
          </cell>
          <cell r="M1430">
            <v>-125</v>
          </cell>
        </row>
        <row r="1431">
          <cell r="L1431" t="str">
            <v>Dont Account For</v>
          </cell>
          <cell r="M1431">
            <v>41.666666666666671</v>
          </cell>
        </row>
        <row r="1432">
          <cell r="L1432" t="str">
            <v>Bank Charges</v>
          </cell>
          <cell r="M1432">
            <v>-0.83333333333333337</v>
          </cell>
        </row>
        <row r="1433">
          <cell r="L1433" t="str">
            <v>Dont Account For</v>
          </cell>
          <cell r="M1433">
            <v>-41.666666666666671</v>
          </cell>
        </row>
        <row r="1434">
          <cell r="L1434" t="str">
            <v>Dont Account For</v>
          </cell>
          <cell r="M1434">
            <v>-33.333333333333336</v>
          </cell>
        </row>
        <row r="1435">
          <cell r="L1435" t="str">
            <v>Dont Account For</v>
          </cell>
          <cell r="M1435">
            <v>-87.333333333333329</v>
          </cell>
        </row>
        <row r="1436">
          <cell r="L1436" t="str">
            <v>Dont Account For</v>
          </cell>
          <cell r="M1436">
            <v>-59.541666666666671</v>
          </cell>
        </row>
        <row r="1437">
          <cell r="L1437" t="str">
            <v>Dont Account For</v>
          </cell>
          <cell r="M1437">
            <v>41.666666666666671</v>
          </cell>
        </row>
        <row r="1438">
          <cell r="L1438" t="str">
            <v>Dont Account For</v>
          </cell>
          <cell r="M1438">
            <v>-43.333333333333336</v>
          </cell>
        </row>
        <row r="1439">
          <cell r="L1439" t="str">
            <v>Dont Account For</v>
          </cell>
          <cell r="M1439">
            <v>-164.79166666666669</v>
          </cell>
        </row>
        <row r="1440">
          <cell r="L1440" t="str">
            <v>Dont Account For</v>
          </cell>
          <cell r="M1440">
            <v>-50</v>
          </cell>
        </row>
        <row r="1441">
          <cell r="L1441" t="str">
            <v>Dont Account For</v>
          </cell>
          <cell r="M1441">
            <v>-114.70833333333334</v>
          </cell>
        </row>
        <row r="1442">
          <cell r="L1442" t="str">
            <v>Dont Account For</v>
          </cell>
          <cell r="M1442">
            <v>-94.375</v>
          </cell>
        </row>
        <row r="1443">
          <cell r="L1443" t="str">
            <v>Dont Account For</v>
          </cell>
          <cell r="M1443">
            <v>0</v>
          </cell>
        </row>
        <row r="1444">
          <cell r="L1444" t="str">
            <v>Dont Account For</v>
          </cell>
          <cell r="M1444">
            <v>1453.4291666666668</v>
          </cell>
        </row>
        <row r="1445">
          <cell r="L1445" t="str">
            <v>Dont Account For</v>
          </cell>
          <cell r="M1445">
            <v>0</v>
          </cell>
        </row>
        <row r="1446">
          <cell r="L1446" t="str">
            <v>Dont Account For</v>
          </cell>
          <cell r="M1446">
            <v>41.666666666666671</v>
          </cell>
        </row>
        <row r="1447">
          <cell r="L1447" t="str">
            <v>Dont Account For</v>
          </cell>
          <cell r="M1447">
            <v>41.666666666666671</v>
          </cell>
        </row>
        <row r="1448">
          <cell r="L1448" t="str">
            <v>Dont Account For</v>
          </cell>
          <cell r="M1448">
            <v>41.666666666666671</v>
          </cell>
        </row>
        <row r="1449">
          <cell r="L1449" t="str">
            <v>Dont Account For</v>
          </cell>
          <cell r="M1449">
            <v>-25</v>
          </cell>
        </row>
        <row r="1450">
          <cell r="L1450" t="str">
            <v>Dont Account For</v>
          </cell>
          <cell r="M1450">
            <v>229.16666666666669</v>
          </cell>
        </row>
        <row r="1451">
          <cell r="L1451" t="str">
            <v>Dont Account For</v>
          </cell>
          <cell r="M1451">
            <v>-250</v>
          </cell>
        </row>
        <row r="1452">
          <cell r="L1452" t="str">
            <v>Dont Account For</v>
          </cell>
          <cell r="M1452">
            <v>-81.25</v>
          </cell>
        </row>
        <row r="1453">
          <cell r="L1453" t="str">
            <v>Dont Account For</v>
          </cell>
          <cell r="M1453">
            <v>-196.66666666666669</v>
          </cell>
        </row>
        <row r="1454">
          <cell r="L1454" t="str">
            <v>Dont Account For</v>
          </cell>
          <cell r="M1454">
            <v>-160.41666666666669</v>
          </cell>
        </row>
        <row r="1455">
          <cell r="L1455" t="str">
            <v>Dont Account For</v>
          </cell>
          <cell r="M1455">
            <v>-130.41666666666669</v>
          </cell>
        </row>
        <row r="1456">
          <cell r="L1456" t="str">
            <v>Dont Account For</v>
          </cell>
          <cell r="M1456">
            <v>-33.333333333333336</v>
          </cell>
        </row>
        <row r="1457">
          <cell r="L1457" t="str">
            <v>Dont Account For</v>
          </cell>
          <cell r="M1457">
            <v>166.66666666666669</v>
          </cell>
        </row>
        <row r="1458">
          <cell r="L1458" t="str">
            <v>Dont Account For</v>
          </cell>
          <cell r="M1458">
            <v>-85</v>
          </cell>
        </row>
        <row r="1459">
          <cell r="L1459" t="str">
            <v>Dont Account For</v>
          </cell>
          <cell r="M1459">
            <v>-55.229166666666671</v>
          </cell>
        </row>
        <row r="1460">
          <cell r="L1460" t="str">
            <v>Dont Account For</v>
          </cell>
          <cell r="M1460">
            <v>-64.479166666666671</v>
          </cell>
        </row>
        <row r="1461">
          <cell r="L1461" t="str">
            <v>Dont Account For</v>
          </cell>
          <cell r="M1461">
            <v>-53.75</v>
          </cell>
        </row>
        <row r="1462">
          <cell r="L1462" t="str">
            <v>Dont Account For</v>
          </cell>
          <cell r="M1462">
            <v>-40.416666666666671</v>
          </cell>
        </row>
        <row r="1463">
          <cell r="L1463" t="str">
            <v>Dont Account For</v>
          </cell>
          <cell r="M1463">
            <v>-243.33333333333334</v>
          </cell>
        </row>
        <row r="1464">
          <cell r="L1464" t="str">
            <v>Dont Account For</v>
          </cell>
          <cell r="M1464">
            <v>125</v>
          </cell>
        </row>
        <row r="1465">
          <cell r="L1465" t="str">
            <v>Dont Account For</v>
          </cell>
          <cell r="M1465">
            <v>41.666666666666671</v>
          </cell>
        </row>
        <row r="1466">
          <cell r="L1466" t="str">
            <v>Bank Charges</v>
          </cell>
          <cell r="M1466">
            <v>-1.5</v>
          </cell>
        </row>
        <row r="1467">
          <cell r="L1467" t="str">
            <v>Eating Out</v>
          </cell>
          <cell r="M1467">
            <v>-14.583333333333334</v>
          </cell>
        </row>
        <row r="1468">
          <cell r="L1468" t="str">
            <v>Dont Account For</v>
          </cell>
          <cell r="M1468">
            <v>-154.16666666666669</v>
          </cell>
        </row>
        <row r="1469">
          <cell r="L1469" t="str">
            <v>Dont Account For</v>
          </cell>
          <cell r="M1469">
            <v>-105.875</v>
          </cell>
        </row>
        <row r="1470">
          <cell r="L1470" t="str">
            <v>Bank Charges</v>
          </cell>
          <cell r="M1470">
            <v>-5</v>
          </cell>
        </row>
        <row r="1471">
          <cell r="L1471" t="str">
            <v>Regular Cost</v>
          </cell>
          <cell r="M1471">
            <v>-167.95</v>
          </cell>
        </row>
        <row r="1472">
          <cell r="L1472" t="str">
            <v>Bank Charges</v>
          </cell>
          <cell r="M1472">
            <v>-3</v>
          </cell>
        </row>
        <row r="1473">
          <cell r="L1473" t="str">
            <v>Dont Account For</v>
          </cell>
          <cell r="M1473">
            <v>76.25</v>
          </cell>
        </row>
        <row r="1474">
          <cell r="L1474" t="str">
            <v>Dont Account For</v>
          </cell>
          <cell r="M1474">
            <v>218.75</v>
          </cell>
        </row>
        <row r="1475">
          <cell r="L1475" t="str">
            <v>Bank Charges</v>
          </cell>
          <cell r="M1475">
            <v>-0.83333333333333337</v>
          </cell>
        </row>
        <row r="1476">
          <cell r="L1476" t="str">
            <v>Bank Charges</v>
          </cell>
          <cell r="M1476">
            <v>-0.83333333333333337</v>
          </cell>
        </row>
        <row r="1477">
          <cell r="L1477" t="str">
            <v>Bank Charges</v>
          </cell>
          <cell r="M1477">
            <v>-0.83333333333333337</v>
          </cell>
        </row>
        <row r="1478">
          <cell r="L1478" t="str">
            <v>Bank Charges</v>
          </cell>
          <cell r="M1478">
            <v>-0.83333333333333337</v>
          </cell>
        </row>
        <row r="1479">
          <cell r="L1479" t="str">
            <v>Dont Account For</v>
          </cell>
          <cell r="M1479">
            <v>-416.66666666666669</v>
          </cell>
        </row>
        <row r="1480">
          <cell r="L1480" t="str">
            <v>Dont Account For</v>
          </cell>
          <cell r="M1480">
            <v>-50.833333333333336</v>
          </cell>
        </row>
        <row r="1481">
          <cell r="L1481" t="str">
            <v>Dont Account For</v>
          </cell>
          <cell r="M1481">
            <v>-58.333333333333336</v>
          </cell>
        </row>
        <row r="1482">
          <cell r="L1482" t="str">
            <v>Dont Account For</v>
          </cell>
          <cell r="M1482">
            <v>-32.5</v>
          </cell>
        </row>
        <row r="1483">
          <cell r="L1483" t="str">
            <v>Dont Account For</v>
          </cell>
          <cell r="M1483">
            <v>-166.66666666666669</v>
          </cell>
        </row>
        <row r="1484">
          <cell r="L1484" t="str">
            <v>Bank Charges</v>
          </cell>
          <cell r="M1484">
            <v>-257.39166666666671</v>
          </cell>
        </row>
        <row r="1485">
          <cell r="L1485" t="str">
            <v>Dont Account For</v>
          </cell>
          <cell r="M1485">
            <v>-270.83333333333337</v>
          </cell>
        </row>
        <row r="1486">
          <cell r="L1486" t="str">
            <v>Dont Account For</v>
          </cell>
          <cell r="M1486">
            <v>41.666666666666671</v>
          </cell>
        </row>
        <row r="1487">
          <cell r="L1487" t="str">
            <v>Dont Account For</v>
          </cell>
          <cell r="M1487">
            <v>41.666666666666671</v>
          </cell>
        </row>
        <row r="1488">
          <cell r="L1488" t="str">
            <v>Dont Account For</v>
          </cell>
          <cell r="M1488">
            <v>41.666666666666671</v>
          </cell>
        </row>
        <row r="1489">
          <cell r="L1489" t="str">
            <v>Dont Account For</v>
          </cell>
          <cell r="M1489">
            <v>41.666666666666671</v>
          </cell>
        </row>
        <row r="1490">
          <cell r="L1490" t="str">
            <v>Dont Account For</v>
          </cell>
          <cell r="M1490">
            <v>41.666666666666671</v>
          </cell>
        </row>
        <row r="1491">
          <cell r="L1491" t="str">
            <v>Dont Account For</v>
          </cell>
          <cell r="M1491">
            <v>41.666666666666671</v>
          </cell>
        </row>
        <row r="1492">
          <cell r="L1492" t="str">
            <v>Dont Account For</v>
          </cell>
          <cell r="M1492">
            <v>41.666666666666671</v>
          </cell>
        </row>
        <row r="1493">
          <cell r="L1493" t="str">
            <v>Dont Account For</v>
          </cell>
          <cell r="M1493">
            <v>41.666666666666671</v>
          </cell>
        </row>
        <row r="1494">
          <cell r="L1494" t="str">
            <v>Dont Account For</v>
          </cell>
          <cell r="M1494">
            <v>41.666666666666671</v>
          </cell>
        </row>
        <row r="1495">
          <cell r="L1495" t="str">
            <v>Dont Account For</v>
          </cell>
          <cell r="M1495">
            <v>41.666666666666671</v>
          </cell>
        </row>
        <row r="1496">
          <cell r="L1496" t="str">
            <v>Dont Account For</v>
          </cell>
          <cell r="M1496">
            <v>41.666666666666671</v>
          </cell>
        </row>
        <row r="1497">
          <cell r="L1497" t="str">
            <v>Dont Account For</v>
          </cell>
          <cell r="M1497">
            <v>41.666666666666671</v>
          </cell>
        </row>
        <row r="1498">
          <cell r="L1498" t="str">
            <v>Dont Account For</v>
          </cell>
          <cell r="M1498">
            <v>41.666666666666671</v>
          </cell>
        </row>
        <row r="1499">
          <cell r="L1499" t="str">
            <v>Dont Account For</v>
          </cell>
          <cell r="M1499">
            <v>41.666666666666671</v>
          </cell>
        </row>
        <row r="1500">
          <cell r="L1500" t="str">
            <v>Dont Account For</v>
          </cell>
          <cell r="M1500">
            <v>41.666666666666671</v>
          </cell>
        </row>
        <row r="1501">
          <cell r="L1501" t="str">
            <v>Dont Account For</v>
          </cell>
          <cell r="M1501">
            <v>41.666666666666671</v>
          </cell>
        </row>
        <row r="1502">
          <cell r="L1502" t="str">
            <v>Dont Account For</v>
          </cell>
          <cell r="M1502">
            <v>41.666666666666671</v>
          </cell>
        </row>
        <row r="1503">
          <cell r="L1503" t="str">
            <v>Dont Account For</v>
          </cell>
          <cell r="M1503">
            <v>20.833333333333336</v>
          </cell>
        </row>
        <row r="1504">
          <cell r="L1504" t="str">
            <v>Dont Account For</v>
          </cell>
          <cell r="M1504">
            <v>41.666666666666671</v>
          </cell>
        </row>
        <row r="1505">
          <cell r="L1505" t="str">
            <v>Dont Account For</v>
          </cell>
          <cell r="M1505">
            <v>41.666666666666671</v>
          </cell>
        </row>
        <row r="1506">
          <cell r="L1506" t="str">
            <v>Dont Account For</v>
          </cell>
          <cell r="M1506">
            <v>41.666666666666671</v>
          </cell>
        </row>
        <row r="1507">
          <cell r="L1507" t="str">
            <v>Dont Account For</v>
          </cell>
          <cell r="M1507">
            <v>41.666666666666671</v>
          </cell>
        </row>
        <row r="1508">
          <cell r="L1508" t="str">
            <v>Dont Account For</v>
          </cell>
          <cell r="M1508">
            <v>41.666666666666671</v>
          </cell>
        </row>
        <row r="1509">
          <cell r="L1509" t="str">
            <v>Dont Account For</v>
          </cell>
          <cell r="M1509">
            <v>41.666666666666671</v>
          </cell>
        </row>
        <row r="1510">
          <cell r="L1510" t="str">
            <v>Dont Account For</v>
          </cell>
          <cell r="M1510">
            <v>41.666666666666671</v>
          </cell>
        </row>
        <row r="1511">
          <cell r="L1511" t="str">
            <v>Dont Account For</v>
          </cell>
          <cell r="M1511">
            <v>41.666666666666671</v>
          </cell>
        </row>
        <row r="1512">
          <cell r="L1512" t="str">
            <v>Dont Account For</v>
          </cell>
          <cell r="M1512">
            <v>41.666666666666671</v>
          </cell>
        </row>
        <row r="1513">
          <cell r="L1513" t="str">
            <v>Dont Account For</v>
          </cell>
          <cell r="M1513">
            <v>41.666666666666671</v>
          </cell>
        </row>
        <row r="1514">
          <cell r="L1514" t="str">
            <v>Dont Account For</v>
          </cell>
          <cell r="M1514">
            <v>41.666666666666671</v>
          </cell>
        </row>
        <row r="1515">
          <cell r="L1515" t="str">
            <v>Dont Account For</v>
          </cell>
          <cell r="M1515">
            <v>41.666666666666671</v>
          </cell>
        </row>
        <row r="1516">
          <cell r="L1516" t="str">
            <v>Dont Account For</v>
          </cell>
          <cell r="M1516">
            <v>41.666666666666671</v>
          </cell>
        </row>
        <row r="1517">
          <cell r="L1517" t="str">
            <v>Dont Account For</v>
          </cell>
          <cell r="M1517">
            <v>41.666666666666671</v>
          </cell>
        </row>
        <row r="1518">
          <cell r="L1518" t="str">
            <v>Dont Account For</v>
          </cell>
          <cell r="M1518">
            <v>41.666666666666671</v>
          </cell>
        </row>
        <row r="1519">
          <cell r="L1519" t="str">
            <v>Dont Account For</v>
          </cell>
          <cell r="M1519">
            <v>41.666666666666671</v>
          </cell>
        </row>
        <row r="1520">
          <cell r="L1520" t="str">
            <v>Dont Account For</v>
          </cell>
          <cell r="M1520">
            <v>41.666666666666671</v>
          </cell>
        </row>
        <row r="1521">
          <cell r="L1521" t="str">
            <v>Dont Account For</v>
          </cell>
          <cell r="M1521">
            <v>41.666666666666671</v>
          </cell>
        </row>
        <row r="1522">
          <cell r="L1522" t="str">
            <v>Dont Account For</v>
          </cell>
          <cell r="M1522">
            <v>41.666666666666671</v>
          </cell>
        </row>
        <row r="1523">
          <cell r="L1523" t="str">
            <v>Dont Account For</v>
          </cell>
          <cell r="M1523">
            <v>41.666666666666671</v>
          </cell>
        </row>
        <row r="1524">
          <cell r="L1524" t="str">
            <v>Dont Account For</v>
          </cell>
          <cell r="M1524">
            <v>41.666666666666671</v>
          </cell>
        </row>
        <row r="1525">
          <cell r="L1525" t="str">
            <v>Dont Account For</v>
          </cell>
          <cell r="M1525">
            <v>41.666666666666671</v>
          </cell>
        </row>
        <row r="1526">
          <cell r="L1526" t="str">
            <v>Dont Account For</v>
          </cell>
          <cell r="M1526">
            <v>41.666666666666671</v>
          </cell>
        </row>
        <row r="1527">
          <cell r="L1527" t="str">
            <v>Dont Account For</v>
          </cell>
          <cell r="M1527">
            <v>41.666666666666671</v>
          </cell>
        </row>
        <row r="1528">
          <cell r="L1528" t="str">
            <v>Dont Account For</v>
          </cell>
          <cell r="M1528">
            <v>41.666666666666671</v>
          </cell>
        </row>
        <row r="1529">
          <cell r="L1529" t="str">
            <v>Dont Account For</v>
          </cell>
          <cell r="M1529">
            <v>41.666666666666671</v>
          </cell>
        </row>
        <row r="1530">
          <cell r="L1530" t="str">
            <v>Dont Account For</v>
          </cell>
          <cell r="M1530">
            <v>41.666666666666671</v>
          </cell>
        </row>
        <row r="1531">
          <cell r="L1531" t="str">
            <v>Dont Account For</v>
          </cell>
          <cell r="M1531">
            <v>41.666666666666671</v>
          </cell>
        </row>
        <row r="1532">
          <cell r="L1532" t="str">
            <v>Dont Account For</v>
          </cell>
          <cell r="M1532">
            <v>41.666666666666671</v>
          </cell>
        </row>
        <row r="1533">
          <cell r="L1533" t="str">
            <v>Dont Account For</v>
          </cell>
          <cell r="M1533">
            <v>41.666666666666671</v>
          </cell>
        </row>
        <row r="1534">
          <cell r="L1534" t="str">
            <v>Dont Account For</v>
          </cell>
          <cell r="M1534">
            <v>-32.083333333333336</v>
          </cell>
        </row>
        <row r="1535">
          <cell r="L1535" t="str">
            <v>Dont Account For</v>
          </cell>
          <cell r="M1535">
            <v>-166.66666666666669</v>
          </cell>
        </row>
        <row r="1536">
          <cell r="L1536" t="str">
            <v>Dont Account For</v>
          </cell>
          <cell r="M1536">
            <v>-23.645833333333336</v>
          </cell>
        </row>
        <row r="1537">
          <cell r="L1537" t="str">
            <v>Dont Account For</v>
          </cell>
          <cell r="M1537">
            <v>-150</v>
          </cell>
        </row>
        <row r="1538">
          <cell r="L1538" t="str">
            <v>Dont Account For</v>
          </cell>
          <cell r="M1538">
            <v>-80.604166666666671</v>
          </cell>
        </row>
        <row r="1539">
          <cell r="M1539">
            <v>-165.67916666666667</v>
          </cell>
        </row>
        <row r="1540">
          <cell r="L1540" t="str">
            <v>Dont Account For</v>
          </cell>
          <cell r="M1540">
            <v>41.666666666666671</v>
          </cell>
        </row>
        <row r="1541">
          <cell r="L1541" t="str">
            <v>Dont Account For</v>
          </cell>
          <cell r="M1541">
            <v>-122.08333333333334</v>
          </cell>
        </row>
        <row r="1542">
          <cell r="L1542" t="str">
            <v>Dont Account For</v>
          </cell>
          <cell r="M1542">
            <v>-50.645833333333336</v>
          </cell>
        </row>
        <row r="1543">
          <cell r="L1543" t="str">
            <v>Dont Account For</v>
          </cell>
          <cell r="M1543">
            <v>-49.729166666666664</v>
          </cell>
        </row>
        <row r="1544">
          <cell r="L1544" t="str">
            <v>Dont Account For</v>
          </cell>
          <cell r="M1544">
            <v>-147.91666666666669</v>
          </cell>
        </row>
        <row r="1545">
          <cell r="L1545" t="str">
            <v>Bank Charges</v>
          </cell>
          <cell r="M1545">
            <v>-35.741666666666667</v>
          </cell>
        </row>
        <row r="1546">
          <cell r="L1546" t="str">
            <v>Dont Account For</v>
          </cell>
          <cell r="M1546">
            <v>-58.333333333333336</v>
          </cell>
        </row>
        <row r="1547">
          <cell r="L1547" t="str">
            <v>Dont Account For</v>
          </cell>
          <cell r="M1547">
            <v>-34.166666666666671</v>
          </cell>
        </row>
        <row r="1548">
          <cell r="L1548" t="str">
            <v>Dont Account For</v>
          </cell>
          <cell r="M1548">
            <v>-206.25</v>
          </cell>
        </row>
        <row r="1549">
          <cell r="L1549" t="str">
            <v>Dont Account For</v>
          </cell>
          <cell r="M1549">
            <v>-130.75</v>
          </cell>
        </row>
        <row r="1550">
          <cell r="L1550" t="str">
            <v>Dont Account For</v>
          </cell>
          <cell r="M1550">
            <v>-20.833333333333336</v>
          </cell>
        </row>
        <row r="1551">
          <cell r="L1551" t="str">
            <v>Regular Cost</v>
          </cell>
          <cell r="M1551">
            <v>-60.941666666666663</v>
          </cell>
        </row>
        <row r="1552">
          <cell r="L1552" t="str">
            <v>Dont Account For</v>
          </cell>
          <cell r="M1552">
            <v>-66.666666666666671</v>
          </cell>
        </row>
        <row r="1553">
          <cell r="L1553" t="str">
            <v>Dont Account For</v>
          </cell>
          <cell r="M1553">
            <v>508.33333333333337</v>
          </cell>
        </row>
        <row r="1554">
          <cell r="L1554" t="str">
            <v>Dont Account For</v>
          </cell>
          <cell r="M1554">
            <v>-437.5</v>
          </cell>
        </row>
        <row r="1555">
          <cell r="L1555" t="str">
            <v>Dont Account For</v>
          </cell>
          <cell r="M1555">
            <v>-66.25</v>
          </cell>
        </row>
        <row r="1556">
          <cell r="L1556" t="str">
            <v>Dont Account For</v>
          </cell>
          <cell r="M1556">
            <v>-125</v>
          </cell>
        </row>
        <row r="1557">
          <cell r="L1557" t="str">
            <v>Dont Account For</v>
          </cell>
          <cell r="M1557">
            <v>-62.5</v>
          </cell>
        </row>
        <row r="1558">
          <cell r="L1558" t="str">
            <v>Dont Account For</v>
          </cell>
          <cell r="M1558">
            <v>-23.75</v>
          </cell>
        </row>
        <row r="1559">
          <cell r="L1559" t="str">
            <v>Dont Account For</v>
          </cell>
          <cell r="M1559">
            <v>-85.416666666666671</v>
          </cell>
        </row>
        <row r="1560">
          <cell r="L1560" t="str">
            <v>VOIP</v>
          </cell>
          <cell r="M1560">
            <v>-15.020833333333332</v>
          </cell>
        </row>
        <row r="1561">
          <cell r="L1561" t="str">
            <v>Unknown</v>
          </cell>
          <cell r="M1561">
            <v>-143.75</v>
          </cell>
        </row>
        <row r="1562">
          <cell r="L1562" t="str">
            <v>Dont Account For</v>
          </cell>
          <cell r="M1562">
            <v>143.75</v>
          </cell>
        </row>
        <row r="1563">
          <cell r="L1563" t="str">
            <v>Dont Account For</v>
          </cell>
          <cell r="M1563">
            <v>41.666666666666671</v>
          </cell>
        </row>
        <row r="1564">
          <cell r="L1564" t="str">
            <v>Dont Account For</v>
          </cell>
          <cell r="M1564">
            <v>41.666666666666671</v>
          </cell>
        </row>
        <row r="1565">
          <cell r="L1565" t="str">
            <v>Dont Account For</v>
          </cell>
          <cell r="M1565">
            <v>41.666666666666671</v>
          </cell>
        </row>
        <row r="1566">
          <cell r="L1566" t="str">
            <v>Dont Account For</v>
          </cell>
          <cell r="M1566">
            <v>41.666666666666671</v>
          </cell>
        </row>
        <row r="1567">
          <cell r="L1567" t="str">
            <v>Dont Account For</v>
          </cell>
          <cell r="M1567">
            <v>41.666666666666671</v>
          </cell>
        </row>
        <row r="1568">
          <cell r="L1568" t="str">
            <v>Dont Account For</v>
          </cell>
          <cell r="M1568">
            <v>41.666666666666671</v>
          </cell>
        </row>
        <row r="1569">
          <cell r="L1569" t="str">
            <v>Dont Account For</v>
          </cell>
          <cell r="M1569">
            <v>41.666666666666671</v>
          </cell>
        </row>
        <row r="1570">
          <cell r="L1570" t="str">
            <v>Dont Account For</v>
          </cell>
          <cell r="M1570">
            <v>41.666666666666671</v>
          </cell>
        </row>
        <row r="1571">
          <cell r="L1571" t="str">
            <v>Dont Account For</v>
          </cell>
          <cell r="M1571">
            <v>41.666666666666671</v>
          </cell>
        </row>
        <row r="1572">
          <cell r="L1572" t="str">
            <v>Dont Account For</v>
          </cell>
          <cell r="M1572">
            <v>41.666666666666671</v>
          </cell>
        </row>
        <row r="1573">
          <cell r="L1573" t="str">
            <v>Dont Account For</v>
          </cell>
          <cell r="M1573">
            <v>41.666666666666671</v>
          </cell>
        </row>
        <row r="1574">
          <cell r="L1574" t="str">
            <v>Regular Cost</v>
          </cell>
          <cell r="M1574">
            <v>-128.39583333333334</v>
          </cell>
        </row>
        <row r="1575">
          <cell r="L1575" t="str">
            <v>Dont Account For</v>
          </cell>
          <cell r="M1575">
            <v>-26.875</v>
          </cell>
        </row>
        <row r="1576">
          <cell r="L1576" t="str">
            <v>Dont Account For</v>
          </cell>
          <cell r="M1576">
            <v>-45.833333333333336</v>
          </cell>
        </row>
        <row r="1577">
          <cell r="L1577" t="str">
            <v>Dont Account For</v>
          </cell>
          <cell r="M1577">
            <v>-51.291666666666664</v>
          </cell>
        </row>
        <row r="1578">
          <cell r="L1578" t="str">
            <v>Dont Account For</v>
          </cell>
          <cell r="M1578">
            <v>-39.979166666666671</v>
          </cell>
        </row>
        <row r="1579">
          <cell r="L1579" t="str">
            <v>Dont Account For</v>
          </cell>
          <cell r="M1579">
            <v>-120.83333333333334</v>
          </cell>
        </row>
        <row r="1580">
          <cell r="L1580" t="str">
            <v>Dont Account For</v>
          </cell>
          <cell r="M1580">
            <v>-28.75</v>
          </cell>
        </row>
        <row r="1581">
          <cell r="L1581" t="str">
            <v>Dont Account For</v>
          </cell>
          <cell r="M1581">
            <v>-105.91666666666667</v>
          </cell>
        </row>
        <row r="1582">
          <cell r="L1582" t="str">
            <v>Dont Account For</v>
          </cell>
          <cell r="M1582">
            <v>-91.666666666666671</v>
          </cell>
        </row>
        <row r="1583">
          <cell r="L1583" t="str">
            <v>Dont Account For</v>
          </cell>
          <cell r="M1583">
            <v>41.666666666666671</v>
          </cell>
        </row>
        <row r="1584">
          <cell r="L1584" t="str">
            <v>Dont Account For</v>
          </cell>
          <cell r="M1584">
            <v>83.333333333333343</v>
          </cell>
        </row>
        <row r="1585">
          <cell r="L1585" t="str">
            <v>Dont Account For</v>
          </cell>
          <cell r="M1585">
            <v>-62.5</v>
          </cell>
        </row>
        <row r="1586">
          <cell r="L1586" t="str">
            <v>Dont Account For</v>
          </cell>
          <cell r="M1586">
            <v>-43.75</v>
          </cell>
        </row>
        <row r="1587">
          <cell r="L1587" t="str">
            <v>Dont Account For</v>
          </cell>
          <cell r="M1587">
            <v>-46.125</v>
          </cell>
        </row>
        <row r="1588">
          <cell r="L1588" t="str">
            <v>Dont Account For</v>
          </cell>
          <cell r="M1588">
            <v>41.666666666666671</v>
          </cell>
        </row>
        <row r="1589">
          <cell r="L1589" t="str">
            <v>Dont Account For</v>
          </cell>
          <cell r="M1589">
            <v>41.666666666666671</v>
          </cell>
        </row>
        <row r="1590">
          <cell r="L1590" t="str">
            <v>Dont Account For</v>
          </cell>
          <cell r="M1590">
            <v>41.666666666666671</v>
          </cell>
        </row>
        <row r="1591">
          <cell r="L1591" t="str">
            <v>Dont Account For</v>
          </cell>
          <cell r="M1591">
            <v>41.666666666666671</v>
          </cell>
        </row>
        <row r="1592">
          <cell r="L1592" t="str">
            <v>Dont Account For</v>
          </cell>
          <cell r="M1592">
            <v>41.666666666666671</v>
          </cell>
        </row>
        <row r="1593">
          <cell r="L1593" t="str">
            <v>Dont Account For</v>
          </cell>
          <cell r="M1593">
            <v>41.666666666666671</v>
          </cell>
        </row>
        <row r="1594">
          <cell r="L1594" t="str">
            <v>Dont Account For</v>
          </cell>
          <cell r="M1594">
            <v>-34.375</v>
          </cell>
        </row>
        <row r="1595">
          <cell r="L1595" t="str">
            <v>Dont Account For</v>
          </cell>
          <cell r="M1595">
            <v>-6.25</v>
          </cell>
        </row>
        <row r="1596">
          <cell r="L1596" t="str">
            <v>Dont Account For</v>
          </cell>
          <cell r="M1596">
            <v>41.666666666666671</v>
          </cell>
        </row>
        <row r="1597">
          <cell r="L1597" t="str">
            <v>Dont Account For</v>
          </cell>
          <cell r="M1597">
            <v>-66.666666666666671</v>
          </cell>
        </row>
        <row r="1598">
          <cell r="L1598" t="str">
            <v>Unknown</v>
          </cell>
          <cell r="M1598">
            <v>-336.98750000000001</v>
          </cell>
        </row>
        <row r="1599">
          <cell r="L1599" t="str">
            <v>Dont Account For</v>
          </cell>
          <cell r="M1599">
            <v>-108.33333333333334</v>
          </cell>
        </row>
        <row r="1600">
          <cell r="L1600" t="str">
            <v>Dont Account For</v>
          </cell>
          <cell r="M1600">
            <v>-52.4375</v>
          </cell>
        </row>
        <row r="1601">
          <cell r="L1601" t="str">
            <v>Dont Account For</v>
          </cell>
          <cell r="M1601">
            <v>-70.750000000000014</v>
          </cell>
        </row>
        <row r="1602">
          <cell r="L1602" t="str">
            <v>Dont Account For</v>
          </cell>
          <cell r="M1602">
            <v>-56.666666666666671</v>
          </cell>
        </row>
        <row r="1603">
          <cell r="L1603" t="str">
            <v>Dont Account For</v>
          </cell>
          <cell r="M1603">
            <v>-70.125000000000014</v>
          </cell>
        </row>
        <row r="1604">
          <cell r="L1604" t="str">
            <v>Dont Account For</v>
          </cell>
          <cell r="M1604">
            <v>41.666666666666671</v>
          </cell>
        </row>
        <row r="1605">
          <cell r="L1605" t="str">
            <v>Dont Account For</v>
          </cell>
          <cell r="M1605">
            <v>-63.333333333333336</v>
          </cell>
        </row>
        <row r="1606">
          <cell r="L1606" t="str">
            <v>Dont Account For</v>
          </cell>
          <cell r="M1606">
            <v>-120</v>
          </cell>
        </row>
        <row r="1607">
          <cell r="L1607" t="str">
            <v>Dont Account For</v>
          </cell>
          <cell r="M1607">
            <v>-27.8</v>
          </cell>
        </row>
        <row r="1608">
          <cell r="L1608" t="str">
            <v>Dont Account For</v>
          </cell>
          <cell r="M1608">
            <v>-80</v>
          </cell>
        </row>
        <row r="1609">
          <cell r="L1609" t="str">
            <v>Dont Account For</v>
          </cell>
          <cell r="M1609">
            <v>-25</v>
          </cell>
        </row>
        <row r="1610">
          <cell r="L1610" t="str">
            <v>Dont Account For</v>
          </cell>
          <cell r="M1610">
            <v>-15.6</v>
          </cell>
        </row>
        <row r="1611">
          <cell r="L1611" t="str">
            <v>Dont Account For</v>
          </cell>
          <cell r="M1611">
            <v>-33.333333333333336</v>
          </cell>
        </row>
        <row r="1612">
          <cell r="L1612" t="str">
            <v>Dont Account For</v>
          </cell>
          <cell r="M1612">
            <v>-100.83333333333334</v>
          </cell>
        </row>
        <row r="1613">
          <cell r="L1613" t="str">
            <v>Dont Account For</v>
          </cell>
          <cell r="M1613">
            <v>6666.666666666667</v>
          </cell>
        </row>
        <row r="1614">
          <cell r="L1614" t="str">
            <v>Dont Account For</v>
          </cell>
          <cell r="M1614">
            <v>-63.895833333333336</v>
          </cell>
        </row>
        <row r="1615">
          <cell r="L1615" t="str">
            <v>Dont Account For</v>
          </cell>
          <cell r="M1615">
            <v>-2000</v>
          </cell>
        </row>
        <row r="1616">
          <cell r="L1616" t="str">
            <v>Dont Account For</v>
          </cell>
          <cell r="M1616">
            <v>2000</v>
          </cell>
        </row>
        <row r="1617">
          <cell r="L1617" t="str">
            <v>Dont Account For</v>
          </cell>
          <cell r="M1617">
            <v>-519.16666666666674</v>
          </cell>
        </row>
        <row r="1618">
          <cell r="L1618" t="str">
            <v>Dont Account For</v>
          </cell>
          <cell r="M1618">
            <v>-62.5</v>
          </cell>
        </row>
        <row r="1619">
          <cell r="L1619" t="str">
            <v>Dont Account For</v>
          </cell>
          <cell r="M1619">
            <v>41.666666666666671</v>
          </cell>
        </row>
        <row r="1620">
          <cell r="L1620" t="str">
            <v>Dont Account For</v>
          </cell>
          <cell r="M1620">
            <v>41.666666666666671</v>
          </cell>
        </row>
        <row r="1621">
          <cell r="L1621" t="str">
            <v>Dont Account For</v>
          </cell>
          <cell r="M1621">
            <v>41.666666666666671</v>
          </cell>
        </row>
        <row r="1622">
          <cell r="L1622" t="str">
            <v>Dont Account For</v>
          </cell>
          <cell r="M1622">
            <v>41.666666666666671</v>
          </cell>
        </row>
        <row r="1623">
          <cell r="L1623" t="str">
            <v>Dont Account For</v>
          </cell>
          <cell r="M1623">
            <v>41.666666666666671</v>
          </cell>
        </row>
        <row r="1624">
          <cell r="L1624" t="str">
            <v>Dont Account For</v>
          </cell>
          <cell r="M1624">
            <v>41.666666666666671</v>
          </cell>
        </row>
        <row r="1625">
          <cell r="L1625" t="str">
            <v>Dont Account For</v>
          </cell>
          <cell r="M1625">
            <v>41.666666666666671</v>
          </cell>
        </row>
        <row r="1626">
          <cell r="L1626" t="str">
            <v>Dont Account For</v>
          </cell>
          <cell r="M1626">
            <v>41.666666666666671</v>
          </cell>
        </row>
        <row r="1627">
          <cell r="L1627" t="str">
            <v>Dont Account For</v>
          </cell>
          <cell r="M1627">
            <v>41.666666666666671</v>
          </cell>
        </row>
        <row r="1628">
          <cell r="L1628" t="str">
            <v>Dont Account For</v>
          </cell>
          <cell r="M1628">
            <v>41.666666666666671</v>
          </cell>
        </row>
        <row r="1629">
          <cell r="L1629" t="str">
            <v>Dont Account For</v>
          </cell>
          <cell r="M1629">
            <v>41.666666666666671</v>
          </cell>
        </row>
        <row r="1630">
          <cell r="L1630" t="str">
            <v>Dont Account For</v>
          </cell>
          <cell r="M1630">
            <v>41.666666666666671</v>
          </cell>
        </row>
        <row r="1631">
          <cell r="L1631" t="str">
            <v>Dont Account For</v>
          </cell>
          <cell r="M1631">
            <v>41.666666666666671</v>
          </cell>
        </row>
        <row r="1632">
          <cell r="L1632" t="str">
            <v>Dont Account For</v>
          </cell>
          <cell r="M1632">
            <v>41.666666666666671</v>
          </cell>
        </row>
        <row r="1633">
          <cell r="L1633" t="str">
            <v>Dont Account For</v>
          </cell>
          <cell r="M1633">
            <v>41.666666666666671</v>
          </cell>
        </row>
        <row r="1634">
          <cell r="L1634" t="str">
            <v>Dont Account For</v>
          </cell>
          <cell r="M1634">
            <v>41.666666666666671</v>
          </cell>
        </row>
        <row r="1635">
          <cell r="L1635" t="str">
            <v>Dont Account For</v>
          </cell>
          <cell r="M1635">
            <v>41.666666666666671</v>
          </cell>
        </row>
        <row r="1636">
          <cell r="L1636" t="str">
            <v>Dont Account For</v>
          </cell>
          <cell r="M1636">
            <v>41.666666666666671</v>
          </cell>
        </row>
        <row r="1637">
          <cell r="L1637" t="str">
            <v>Dont Account For</v>
          </cell>
          <cell r="M1637">
            <v>41.666666666666671</v>
          </cell>
        </row>
        <row r="1638">
          <cell r="L1638" t="str">
            <v>Dont Account For</v>
          </cell>
          <cell r="M1638">
            <v>41.666666666666671</v>
          </cell>
        </row>
        <row r="1639">
          <cell r="L1639" t="str">
            <v>Dont Account For</v>
          </cell>
          <cell r="M1639">
            <v>41.666666666666671</v>
          </cell>
        </row>
        <row r="1640">
          <cell r="L1640" t="str">
            <v>Dont Account For</v>
          </cell>
          <cell r="M1640">
            <v>41.666666666666671</v>
          </cell>
        </row>
        <row r="1641">
          <cell r="L1641" t="str">
            <v>Dont Account For</v>
          </cell>
          <cell r="M1641">
            <v>41.666666666666671</v>
          </cell>
        </row>
        <row r="1642">
          <cell r="L1642" t="str">
            <v>Dont Account For</v>
          </cell>
          <cell r="M1642">
            <v>41.666666666666671</v>
          </cell>
        </row>
        <row r="1643">
          <cell r="L1643" t="str">
            <v>Dont Account For</v>
          </cell>
          <cell r="M1643">
            <v>41.666666666666671</v>
          </cell>
        </row>
        <row r="1644">
          <cell r="L1644" t="str">
            <v>Dont Account For</v>
          </cell>
          <cell r="M1644">
            <v>41.666666666666671</v>
          </cell>
        </row>
        <row r="1645">
          <cell r="L1645" t="str">
            <v>Dont Account For</v>
          </cell>
          <cell r="M1645">
            <v>41.666666666666671</v>
          </cell>
        </row>
        <row r="1646">
          <cell r="L1646" t="str">
            <v>Dont Account For</v>
          </cell>
          <cell r="M1646">
            <v>41.666666666666671</v>
          </cell>
        </row>
        <row r="1647">
          <cell r="L1647" t="str">
            <v>Dont Account For</v>
          </cell>
          <cell r="M1647">
            <v>41.666666666666671</v>
          </cell>
        </row>
        <row r="1648">
          <cell r="L1648" t="str">
            <v>Dont Account For</v>
          </cell>
          <cell r="M1648">
            <v>-33.49</v>
          </cell>
        </row>
        <row r="1649">
          <cell r="L1649" t="str">
            <v>Dont Account For</v>
          </cell>
          <cell r="M1649">
            <v>-50</v>
          </cell>
        </row>
        <row r="1650">
          <cell r="L1650" t="str">
            <v>Bank Charges</v>
          </cell>
          <cell r="M1650">
            <v>-1.5</v>
          </cell>
        </row>
        <row r="1651">
          <cell r="L1651" t="str">
            <v>Dont Account For</v>
          </cell>
          <cell r="M1651">
            <v>-152.27083333333334</v>
          </cell>
        </row>
        <row r="1652">
          <cell r="L1652" t="str">
            <v>Dont Account For</v>
          </cell>
          <cell r="M1652">
            <v>0</v>
          </cell>
        </row>
        <row r="1653">
          <cell r="L1653" t="str">
            <v>Dont Account For</v>
          </cell>
          <cell r="M1653">
            <v>1453.4291666666668</v>
          </cell>
        </row>
        <row r="1654">
          <cell r="L1654" t="str">
            <v>Dont Account For</v>
          </cell>
          <cell r="M1654">
            <v>0</v>
          </cell>
        </row>
        <row r="1655">
          <cell r="L1655" t="str">
            <v>Dont Account For</v>
          </cell>
          <cell r="M1655">
            <v>-30</v>
          </cell>
        </row>
        <row r="1656">
          <cell r="L1656" t="str">
            <v>Dont Account For</v>
          </cell>
          <cell r="M1656">
            <v>-20</v>
          </cell>
        </row>
        <row r="1657">
          <cell r="L1657" t="str">
            <v>Dont Account For</v>
          </cell>
          <cell r="M1657">
            <v>-15</v>
          </cell>
        </row>
        <row r="1658">
          <cell r="L1658" t="str">
            <v>Dont Account For</v>
          </cell>
          <cell r="M1658">
            <v>-126.06250000000001</v>
          </cell>
        </row>
        <row r="1659">
          <cell r="L1659" t="str">
            <v>Eating Out</v>
          </cell>
          <cell r="M1659">
            <v>-71.062500000000014</v>
          </cell>
        </row>
        <row r="1660">
          <cell r="L1660" t="str">
            <v>Groceries</v>
          </cell>
          <cell r="M1660">
            <v>-177.22916666666669</v>
          </cell>
        </row>
        <row r="1661">
          <cell r="L1661" t="str">
            <v>Dont Account For</v>
          </cell>
          <cell r="M1661">
            <v>-63.6875</v>
          </cell>
        </row>
        <row r="1662">
          <cell r="L1662" t="str">
            <v>Dont Account For</v>
          </cell>
          <cell r="M1662">
            <v>41.666666666666671</v>
          </cell>
        </row>
        <row r="1663">
          <cell r="L1663" t="str">
            <v>Dont Account For</v>
          </cell>
          <cell r="M1663">
            <v>41.666666666666671</v>
          </cell>
        </row>
        <row r="1664">
          <cell r="L1664" t="str">
            <v>Dont Account For</v>
          </cell>
          <cell r="M1664">
            <v>41.666666666666671</v>
          </cell>
        </row>
        <row r="1665">
          <cell r="L1665" t="str">
            <v>Dont Account For</v>
          </cell>
          <cell r="M1665">
            <v>41.666666666666671</v>
          </cell>
        </row>
        <row r="1666">
          <cell r="L1666" t="str">
            <v>Dont Account For</v>
          </cell>
          <cell r="M1666">
            <v>41.666666666666671</v>
          </cell>
        </row>
        <row r="1667">
          <cell r="L1667" t="str">
            <v>Dont Account For</v>
          </cell>
          <cell r="M1667">
            <v>41.666666666666671</v>
          </cell>
        </row>
        <row r="1668">
          <cell r="L1668" t="str">
            <v>Dont Account For</v>
          </cell>
          <cell r="M1668">
            <v>41.666666666666671</v>
          </cell>
        </row>
        <row r="1669">
          <cell r="L1669" t="str">
            <v>Dont Account For</v>
          </cell>
          <cell r="M1669">
            <v>41.666666666666671</v>
          </cell>
        </row>
        <row r="1670">
          <cell r="L1670" t="str">
            <v>Dont Account For</v>
          </cell>
          <cell r="M1670">
            <v>41.666666666666671</v>
          </cell>
        </row>
        <row r="1671">
          <cell r="L1671" t="str">
            <v>Dont Account For</v>
          </cell>
          <cell r="M1671">
            <v>41.666666666666671</v>
          </cell>
        </row>
        <row r="1672">
          <cell r="L1672" t="str">
            <v>Dont Account For</v>
          </cell>
          <cell r="M1672">
            <v>41.666666666666671</v>
          </cell>
        </row>
        <row r="1673">
          <cell r="L1673" t="str">
            <v>Dont Account For</v>
          </cell>
          <cell r="M1673">
            <v>-1666.6666666666667</v>
          </cell>
        </row>
        <row r="1674">
          <cell r="L1674" t="str">
            <v>Dont Account For</v>
          </cell>
          <cell r="M1674">
            <v>1666.6666666666667</v>
          </cell>
        </row>
        <row r="1675">
          <cell r="L1675" t="str">
            <v>Bank Charges</v>
          </cell>
          <cell r="M1675">
            <v>-40</v>
          </cell>
        </row>
        <row r="1676">
          <cell r="L1676" t="str">
            <v>Dont Account For</v>
          </cell>
          <cell r="M1676">
            <v>500</v>
          </cell>
        </row>
        <row r="1677">
          <cell r="L1677" t="str">
            <v>Dont Account For</v>
          </cell>
          <cell r="M1677">
            <v>-200</v>
          </cell>
        </row>
        <row r="1678">
          <cell r="L1678" t="str">
            <v>Dont Account For</v>
          </cell>
          <cell r="M1678">
            <v>-500</v>
          </cell>
        </row>
        <row r="1679">
          <cell r="L1679" t="str">
            <v>Dont Account For</v>
          </cell>
          <cell r="M1679">
            <v>-676.49</v>
          </cell>
        </row>
        <row r="1680">
          <cell r="L1680" t="str">
            <v>Dont Account For</v>
          </cell>
          <cell r="M1680">
            <v>500</v>
          </cell>
        </row>
        <row r="1681">
          <cell r="L1681" t="str">
            <v>Dont Account For</v>
          </cell>
          <cell r="M1681">
            <v>-0.34</v>
          </cell>
        </row>
        <row r="1682">
          <cell r="L1682" t="str">
            <v>Dont Account For</v>
          </cell>
          <cell r="M1682">
            <v>-0.17</v>
          </cell>
        </row>
        <row r="1683">
          <cell r="L1683" t="str">
            <v>Bank Charges</v>
          </cell>
          <cell r="M1683">
            <v>-0.01</v>
          </cell>
        </row>
        <row r="1684">
          <cell r="L1684" t="str">
            <v>Computer Books</v>
          </cell>
          <cell r="M1684">
            <v>-26.287500000000001</v>
          </cell>
        </row>
        <row r="1685">
          <cell r="L1685" t="str">
            <v>Computer Hardware</v>
          </cell>
          <cell r="M1685">
            <v>-232.5</v>
          </cell>
        </row>
        <row r="1686">
          <cell r="L1686" t="str">
            <v>Eating Out</v>
          </cell>
          <cell r="M1686">
            <v>-58.07083333333334</v>
          </cell>
        </row>
        <row r="1687">
          <cell r="L1687" t="str">
            <v>Dont Account For</v>
          </cell>
          <cell r="M1687">
            <v>41.666666666666671</v>
          </cell>
        </row>
        <row r="1688">
          <cell r="L1688" t="str">
            <v>Dont Account For</v>
          </cell>
          <cell r="M1688">
            <v>-5</v>
          </cell>
        </row>
        <row r="1689">
          <cell r="L1689" t="str">
            <v>Bank Charges</v>
          </cell>
          <cell r="M1689">
            <v>-27.5</v>
          </cell>
        </row>
        <row r="1690">
          <cell r="L1690" t="str">
            <v>Unknown</v>
          </cell>
          <cell r="M1690">
            <v>-23.870833333333334</v>
          </cell>
        </row>
        <row r="1691">
          <cell r="L1691" t="str">
            <v>Dont Account For</v>
          </cell>
          <cell r="M1691">
            <v>-63.037500000000001</v>
          </cell>
        </row>
        <row r="1692">
          <cell r="L1692" t="str">
            <v>Dont Account For</v>
          </cell>
          <cell r="M1692">
            <v>-56.233333333333341</v>
          </cell>
        </row>
        <row r="1693">
          <cell r="L1693" t="str">
            <v>Dont Account For</v>
          </cell>
          <cell r="M1693">
            <v>-69.829166666666666</v>
          </cell>
        </row>
        <row r="1694">
          <cell r="L1694" t="str">
            <v>Regular Cost</v>
          </cell>
          <cell r="M1694">
            <v>-117.54166666666669</v>
          </cell>
        </row>
        <row r="1695">
          <cell r="L1695" t="str">
            <v>Groceries</v>
          </cell>
          <cell r="M1695">
            <v>-69.983333333333334</v>
          </cell>
        </row>
        <row r="1696">
          <cell r="L1696" t="str">
            <v>Groceries</v>
          </cell>
          <cell r="M1696">
            <v>-111.50416666666668</v>
          </cell>
        </row>
        <row r="1697">
          <cell r="L1697" t="str">
            <v>Unknown</v>
          </cell>
          <cell r="M1697">
            <v>-48.237499999999997</v>
          </cell>
        </row>
        <row r="1698">
          <cell r="L1698" t="str">
            <v>Minerva Rent</v>
          </cell>
          <cell r="M1698">
            <v>0</v>
          </cell>
        </row>
        <row r="1699">
          <cell r="L1699" t="str">
            <v>Minerva Rent</v>
          </cell>
          <cell r="M1699">
            <v>2794.12</v>
          </cell>
        </row>
        <row r="1700">
          <cell r="L1700" t="str">
            <v>Minerva Agent</v>
          </cell>
          <cell r="M1700">
            <v>-238.62</v>
          </cell>
        </row>
        <row r="1701">
          <cell r="L1701" t="str">
            <v>Dont Account For</v>
          </cell>
          <cell r="M1701">
            <v>-169.75</v>
          </cell>
        </row>
        <row r="1702">
          <cell r="L1702" t="str">
            <v>Dont Account For</v>
          </cell>
          <cell r="M1702">
            <v>1541.6666666666667</v>
          </cell>
        </row>
        <row r="1703">
          <cell r="L1703" t="str">
            <v>Dont Account For</v>
          </cell>
          <cell r="M1703">
            <v>-60</v>
          </cell>
        </row>
        <row r="1704">
          <cell r="L1704" t="str">
            <v>Dont Account For</v>
          </cell>
          <cell r="M1704">
            <v>-550</v>
          </cell>
        </row>
        <row r="1705">
          <cell r="L1705" t="str">
            <v>Bank Charges</v>
          </cell>
          <cell r="M1705">
            <v>-5</v>
          </cell>
        </row>
        <row r="1706">
          <cell r="L1706" t="str">
            <v>School Books</v>
          </cell>
          <cell r="M1706">
            <v>-92.912500000000009</v>
          </cell>
        </row>
        <row r="1707">
          <cell r="L1707" t="str">
            <v>Groceries</v>
          </cell>
          <cell r="M1707">
            <v>-124.91250000000001</v>
          </cell>
        </row>
        <row r="1708">
          <cell r="L1708" t="str">
            <v>Optus Mobile</v>
          </cell>
          <cell r="M1708">
            <v>-96.041666666666671</v>
          </cell>
        </row>
        <row r="1709">
          <cell r="L1709" t="str">
            <v>Optus Home Phone</v>
          </cell>
          <cell r="M1709">
            <v>-51.125</v>
          </cell>
        </row>
        <row r="1710">
          <cell r="L1710" t="str">
            <v>Dont Account For</v>
          </cell>
          <cell r="M1710">
            <v>6250</v>
          </cell>
        </row>
        <row r="1711">
          <cell r="L1711" t="str">
            <v>Regular Cost</v>
          </cell>
          <cell r="M1711">
            <v>-167.95</v>
          </cell>
        </row>
        <row r="1712">
          <cell r="L1712" t="str">
            <v>Dont Account For</v>
          </cell>
          <cell r="M1712">
            <v>41.666666666666671</v>
          </cell>
        </row>
        <row r="1713">
          <cell r="L1713" t="str">
            <v>Dont Account For</v>
          </cell>
          <cell r="M1713">
            <v>41.666666666666671</v>
          </cell>
        </row>
        <row r="1714">
          <cell r="L1714" t="str">
            <v>Dont Account For</v>
          </cell>
          <cell r="M1714">
            <v>41.666666666666671</v>
          </cell>
        </row>
        <row r="1715">
          <cell r="L1715" t="str">
            <v>Dont Account For</v>
          </cell>
          <cell r="M1715">
            <v>41.666666666666671</v>
          </cell>
        </row>
        <row r="1716">
          <cell r="L1716" t="str">
            <v>Dont Account For</v>
          </cell>
          <cell r="M1716">
            <v>41.666666666666671</v>
          </cell>
        </row>
        <row r="1717">
          <cell r="L1717" t="str">
            <v>Dont Account For</v>
          </cell>
          <cell r="M1717">
            <v>41.666666666666671</v>
          </cell>
        </row>
        <row r="1718">
          <cell r="L1718" t="str">
            <v>Dont Account For</v>
          </cell>
          <cell r="M1718">
            <v>41.666666666666671</v>
          </cell>
        </row>
        <row r="1719">
          <cell r="L1719" t="str">
            <v>Dont Account For</v>
          </cell>
          <cell r="M1719">
            <v>41.666666666666671</v>
          </cell>
        </row>
        <row r="1720">
          <cell r="L1720" t="str">
            <v>Dont Account For</v>
          </cell>
          <cell r="M1720">
            <v>41.666666666666671</v>
          </cell>
        </row>
        <row r="1721">
          <cell r="L1721" t="str">
            <v>Dont Account For</v>
          </cell>
          <cell r="M1721">
            <v>41.666666666666671</v>
          </cell>
        </row>
        <row r="1722">
          <cell r="L1722" t="str">
            <v>Dont Account For</v>
          </cell>
          <cell r="M1722">
            <v>41.666666666666671</v>
          </cell>
        </row>
        <row r="1723">
          <cell r="L1723" t="str">
            <v>Dont Account For</v>
          </cell>
          <cell r="M1723">
            <v>41.666666666666671</v>
          </cell>
        </row>
        <row r="1724">
          <cell r="L1724" t="str">
            <v>Dont Account For</v>
          </cell>
          <cell r="M1724">
            <v>41.666666666666671</v>
          </cell>
        </row>
        <row r="1725">
          <cell r="L1725" t="str">
            <v>Dont Account For</v>
          </cell>
          <cell r="M1725">
            <v>41.666666666666671</v>
          </cell>
        </row>
        <row r="1726">
          <cell r="L1726" t="str">
            <v>Dont Account For</v>
          </cell>
          <cell r="M1726">
            <v>41.666666666666671</v>
          </cell>
        </row>
        <row r="1727">
          <cell r="L1727" t="str">
            <v>Dont Account For</v>
          </cell>
          <cell r="M1727">
            <v>41.666666666666671</v>
          </cell>
        </row>
        <row r="1728">
          <cell r="L1728" t="str">
            <v>Dont Account For</v>
          </cell>
          <cell r="M1728">
            <v>134</v>
          </cell>
        </row>
        <row r="1729">
          <cell r="L1729" t="str">
            <v>Dont Account For</v>
          </cell>
          <cell r="M1729">
            <v>-400</v>
          </cell>
        </row>
        <row r="1730">
          <cell r="L1730" t="str">
            <v>Unknown</v>
          </cell>
          <cell r="M1730">
            <v>0</v>
          </cell>
        </row>
        <row r="1731">
          <cell r="L1731" t="str">
            <v>Dont Account For</v>
          </cell>
          <cell r="M1731">
            <v>500</v>
          </cell>
        </row>
        <row r="1732">
          <cell r="L1732" t="str">
            <v>Dont Account For</v>
          </cell>
          <cell r="M1732">
            <v>-37.708333333333336</v>
          </cell>
        </row>
        <row r="1733">
          <cell r="L1733" t="str">
            <v>Regular Cost</v>
          </cell>
          <cell r="M1733">
            <v>-60.466666666666669</v>
          </cell>
        </row>
        <row r="1734">
          <cell r="L1734" t="str">
            <v>Groceries</v>
          </cell>
          <cell r="M1734">
            <v>-54.75416666666667</v>
          </cell>
        </row>
        <row r="1735">
          <cell r="L1735" t="str">
            <v>Wool</v>
          </cell>
          <cell r="M1735">
            <v>-61.5</v>
          </cell>
        </row>
        <row r="1736">
          <cell r="L1736" t="str">
            <v>Wool</v>
          </cell>
          <cell r="M1736">
            <v>-56.895833333333343</v>
          </cell>
        </row>
        <row r="1737">
          <cell r="L1737" t="str">
            <v>Wool</v>
          </cell>
          <cell r="M1737">
            <v>-44.791666666666671</v>
          </cell>
        </row>
        <row r="1738">
          <cell r="L1738" t="str">
            <v>Groceries</v>
          </cell>
          <cell r="M1738">
            <v>-67.779166666666669</v>
          </cell>
        </row>
        <row r="1739">
          <cell r="L1739" t="str">
            <v>Groceries</v>
          </cell>
          <cell r="M1739">
            <v>-181.12083333333334</v>
          </cell>
        </row>
        <row r="1740">
          <cell r="L1740" t="str">
            <v>Eating Out</v>
          </cell>
          <cell r="M1740">
            <v>-41.945833333333333</v>
          </cell>
        </row>
        <row r="1741">
          <cell r="L1741" t="str">
            <v>Regular Cost</v>
          </cell>
          <cell r="M1741">
            <v>-277.86250000000001</v>
          </cell>
        </row>
        <row r="1742">
          <cell r="L1742" t="str">
            <v>Chemist</v>
          </cell>
          <cell r="M1742">
            <v>-36.200000000000003</v>
          </cell>
        </row>
        <row r="1743">
          <cell r="L1743" t="str">
            <v>Unknown</v>
          </cell>
          <cell r="M1743">
            <v>-37.716666666666669</v>
          </cell>
        </row>
        <row r="1744">
          <cell r="L1744" t="str">
            <v>Dont Account For</v>
          </cell>
          <cell r="M1744">
            <v>285.83333333333337</v>
          </cell>
        </row>
        <row r="1745">
          <cell r="L1745" t="str">
            <v>Dont Account For</v>
          </cell>
          <cell r="M1745">
            <v>41.666666666666671</v>
          </cell>
        </row>
        <row r="1746">
          <cell r="L1746" t="str">
            <v>Dont Account For</v>
          </cell>
          <cell r="M1746">
            <v>41.666666666666671</v>
          </cell>
        </row>
        <row r="1747">
          <cell r="L1747" t="str">
            <v>Dont Account For</v>
          </cell>
          <cell r="M1747">
            <v>41.666666666666671</v>
          </cell>
        </row>
        <row r="1748">
          <cell r="L1748" t="str">
            <v>Dont Account For</v>
          </cell>
          <cell r="M1748">
            <v>41.666666666666671</v>
          </cell>
        </row>
        <row r="1749">
          <cell r="L1749" t="str">
            <v>Dont Account For</v>
          </cell>
          <cell r="M1749">
            <v>2208.3333333333335</v>
          </cell>
        </row>
        <row r="1750">
          <cell r="L1750" t="str">
            <v>Dont Account For</v>
          </cell>
          <cell r="M1750">
            <v>-53.333333333333336</v>
          </cell>
        </row>
        <row r="1751">
          <cell r="L1751" t="str">
            <v>Dont Account For</v>
          </cell>
          <cell r="M1751">
            <v>-24.733333333333334</v>
          </cell>
        </row>
        <row r="1752">
          <cell r="L1752" t="str">
            <v>Dont Account For</v>
          </cell>
          <cell r="M1752">
            <v>7791.666666666667</v>
          </cell>
        </row>
        <row r="1753">
          <cell r="L1753" t="str">
            <v>Dont Account For</v>
          </cell>
          <cell r="M1753">
            <v>1041.6666666666667</v>
          </cell>
        </row>
        <row r="1754">
          <cell r="L1754" t="str">
            <v>Dont Account For</v>
          </cell>
          <cell r="M1754">
            <v>-2208.3333333333335</v>
          </cell>
        </row>
        <row r="1755">
          <cell r="L1755" t="str">
            <v>Bank Charges</v>
          </cell>
          <cell r="M1755">
            <v>-130.89166666666668</v>
          </cell>
        </row>
        <row r="1756">
          <cell r="L1756" t="str">
            <v>Dont Account For</v>
          </cell>
          <cell r="M1756">
            <v>1500</v>
          </cell>
        </row>
        <row r="1757">
          <cell r="L1757" t="str">
            <v>Bank Charges</v>
          </cell>
          <cell r="M1757">
            <v>-122.20416666666668</v>
          </cell>
        </row>
        <row r="1758">
          <cell r="L1758" t="str">
            <v>Dont Account For</v>
          </cell>
          <cell r="M1758">
            <v>41.666666666666671</v>
          </cell>
        </row>
        <row r="1759">
          <cell r="L1759" t="str">
            <v>Dont Account For</v>
          </cell>
          <cell r="M1759">
            <v>41.666666666666671</v>
          </cell>
        </row>
        <row r="1760">
          <cell r="L1760" t="str">
            <v>Dont Account For</v>
          </cell>
          <cell r="M1760">
            <v>41.666666666666671</v>
          </cell>
        </row>
        <row r="1761">
          <cell r="L1761" t="str">
            <v>Dont Account For</v>
          </cell>
          <cell r="M1761">
            <v>41.666666666666671</v>
          </cell>
        </row>
        <row r="1762">
          <cell r="L1762" t="str">
            <v>Dont Account For</v>
          </cell>
          <cell r="M1762">
            <v>41.666666666666671</v>
          </cell>
        </row>
        <row r="1763">
          <cell r="L1763" t="str">
            <v>Dont Account For</v>
          </cell>
          <cell r="M1763">
            <v>41.666666666666671</v>
          </cell>
        </row>
        <row r="1764">
          <cell r="L1764" t="str">
            <v>Dont Account For</v>
          </cell>
          <cell r="M1764">
            <v>41.666666666666671</v>
          </cell>
        </row>
        <row r="1765">
          <cell r="L1765" t="str">
            <v>Dont Account For</v>
          </cell>
          <cell r="M1765">
            <v>41.666666666666671</v>
          </cell>
        </row>
        <row r="1766">
          <cell r="L1766" t="str">
            <v>Dont Account For</v>
          </cell>
          <cell r="M1766">
            <v>41.666666666666671</v>
          </cell>
        </row>
        <row r="1767">
          <cell r="L1767" t="str">
            <v>Dont Account For</v>
          </cell>
          <cell r="M1767">
            <v>41.666666666666671</v>
          </cell>
        </row>
        <row r="1768">
          <cell r="L1768" t="str">
            <v>Dont Account For</v>
          </cell>
          <cell r="M1768">
            <v>-0.52</v>
          </cell>
        </row>
        <row r="1769">
          <cell r="L1769" t="str">
            <v>Dont Account For</v>
          </cell>
          <cell r="M1769">
            <v>0.52</v>
          </cell>
        </row>
        <row r="1770">
          <cell r="L1770" t="str">
            <v>Dont Account For</v>
          </cell>
          <cell r="M1770">
            <v>-32.041666666666671</v>
          </cell>
        </row>
        <row r="1771">
          <cell r="L1771" t="str">
            <v>Computer Software</v>
          </cell>
          <cell r="M1771">
            <v>-30.983333333333334</v>
          </cell>
        </row>
        <row r="1772">
          <cell r="L1772" t="str">
            <v>Groceries</v>
          </cell>
          <cell r="M1772">
            <v>-77.000000000000014</v>
          </cell>
        </row>
        <row r="1773">
          <cell r="L1773" t="str">
            <v>Regular Cost</v>
          </cell>
          <cell r="M1773">
            <v>-2070.6333333333337</v>
          </cell>
        </row>
        <row r="1774">
          <cell r="L1774" t="str">
            <v>Dont Account For</v>
          </cell>
          <cell r="M1774">
            <v>41.666666666666671</v>
          </cell>
        </row>
        <row r="1775">
          <cell r="L1775" t="str">
            <v>Dont Account For</v>
          </cell>
          <cell r="M1775">
            <v>-32.5</v>
          </cell>
        </row>
        <row r="1776">
          <cell r="L1776" t="str">
            <v>Dont Account For</v>
          </cell>
          <cell r="M1776">
            <v>-28.466666666666665</v>
          </cell>
        </row>
        <row r="1777">
          <cell r="L1777" t="str">
            <v>Regular Cost</v>
          </cell>
          <cell r="M1777">
            <v>-8098.0791666666664</v>
          </cell>
        </row>
        <row r="1778">
          <cell r="L1778" t="str">
            <v>Books, Videos, Magazines</v>
          </cell>
          <cell r="M1778">
            <v>-128.59583333333333</v>
          </cell>
        </row>
        <row r="1779">
          <cell r="L1779" t="str">
            <v>Regular Cost</v>
          </cell>
          <cell r="M1779">
            <v>-310.37083333333334</v>
          </cell>
        </row>
        <row r="1780">
          <cell r="L1780" t="str">
            <v>Regular Cost</v>
          </cell>
          <cell r="M1780">
            <v>-240</v>
          </cell>
        </row>
        <row r="1781">
          <cell r="L1781" t="str">
            <v>Groceries</v>
          </cell>
          <cell r="M1781">
            <v>-43.75</v>
          </cell>
        </row>
        <row r="1782">
          <cell r="L1782" t="str">
            <v>Car Fines</v>
          </cell>
          <cell r="M1782">
            <v>-258.33333333333337</v>
          </cell>
        </row>
        <row r="1783">
          <cell r="L1783" t="str">
            <v>Dont Account For</v>
          </cell>
          <cell r="M1783">
            <v>2000</v>
          </cell>
        </row>
        <row r="1784">
          <cell r="L1784" t="str">
            <v>Department Store</v>
          </cell>
          <cell r="M1784">
            <v>-145.65416666666667</v>
          </cell>
        </row>
        <row r="1785">
          <cell r="L1785" t="str">
            <v>Car Maintenance</v>
          </cell>
          <cell r="M1785">
            <v>-443.91666666666674</v>
          </cell>
        </row>
        <row r="1786">
          <cell r="L1786" t="str">
            <v>Uniforms</v>
          </cell>
          <cell r="M1786">
            <v>-38.920833333333334</v>
          </cell>
        </row>
        <row r="1787">
          <cell r="L1787" t="str">
            <v>Dont Account For</v>
          </cell>
          <cell r="M1787">
            <v>-34.029166666666669</v>
          </cell>
        </row>
        <row r="1788">
          <cell r="L1788" t="str">
            <v>Computer Hardware</v>
          </cell>
          <cell r="M1788">
            <v>-30.395833333333336</v>
          </cell>
        </row>
        <row r="1789">
          <cell r="L1789" t="str">
            <v>Eating Out</v>
          </cell>
          <cell r="M1789">
            <v>-35.270833333333336</v>
          </cell>
        </row>
        <row r="1790">
          <cell r="L1790" t="str">
            <v>Dont Account For</v>
          </cell>
          <cell r="M1790">
            <v>800</v>
          </cell>
        </row>
        <row r="1791">
          <cell r="L1791" t="str">
            <v>Groceries</v>
          </cell>
          <cell r="M1791">
            <v>-39.97</v>
          </cell>
        </row>
        <row r="1792">
          <cell r="L1792" t="str">
            <v>Household Items</v>
          </cell>
          <cell r="M1792">
            <v>-15</v>
          </cell>
        </row>
        <row r="1793">
          <cell r="L1793" t="str">
            <v>Dont Account For</v>
          </cell>
          <cell r="M1793">
            <v>-560</v>
          </cell>
        </row>
        <row r="1794">
          <cell r="L1794" t="str">
            <v>Dont Account For</v>
          </cell>
          <cell r="M1794">
            <v>0.19</v>
          </cell>
        </row>
        <row r="1795">
          <cell r="L1795" t="str">
            <v>Dont Account For</v>
          </cell>
          <cell r="M1795">
            <v>7.0000000000000007E-2</v>
          </cell>
        </row>
        <row r="1796">
          <cell r="L1796" t="str">
            <v>Dont Account For</v>
          </cell>
          <cell r="M1796">
            <v>-27.533333333333335</v>
          </cell>
        </row>
        <row r="1797">
          <cell r="L1797" t="str">
            <v>Unknown</v>
          </cell>
          <cell r="M1797">
            <v>-444.30416666666667</v>
          </cell>
        </row>
        <row r="1798">
          <cell r="L1798" t="str">
            <v>Eating Out</v>
          </cell>
          <cell r="M1798">
            <v>-43.820833333333333</v>
          </cell>
        </row>
        <row r="1799">
          <cell r="L1799" t="str">
            <v>Dont Account For</v>
          </cell>
          <cell r="M1799">
            <v>-137.5</v>
          </cell>
        </row>
        <row r="1800">
          <cell r="L1800" t="str">
            <v>Dont Account For</v>
          </cell>
          <cell r="M1800">
            <v>-10.416666666666668</v>
          </cell>
        </row>
        <row r="1801">
          <cell r="L1801" t="str">
            <v>Dont Account For</v>
          </cell>
          <cell r="M1801">
            <v>-18.75</v>
          </cell>
        </row>
        <row r="1802">
          <cell r="L1802" t="str">
            <v>VOIP</v>
          </cell>
          <cell r="M1802">
            <v>-47.304166666666667</v>
          </cell>
        </row>
        <row r="1803">
          <cell r="L1803" t="str">
            <v>Groceries</v>
          </cell>
          <cell r="M1803">
            <v>-71.679166666666674</v>
          </cell>
        </row>
        <row r="1804">
          <cell r="L1804" t="str">
            <v>Groceries</v>
          </cell>
          <cell r="M1804">
            <v>-178.36250000000001</v>
          </cell>
        </row>
        <row r="1805">
          <cell r="L1805" t="str">
            <v>Regular Cost</v>
          </cell>
          <cell r="M1805">
            <v>-694.0958333333333</v>
          </cell>
        </row>
        <row r="1806">
          <cell r="L1806" t="str">
            <v>Dont Account For</v>
          </cell>
          <cell r="M1806">
            <v>208.33333333333334</v>
          </cell>
        </row>
        <row r="1807">
          <cell r="L1807" t="str">
            <v>Bank Charges</v>
          </cell>
          <cell r="M1807">
            <v>-0.83333333333333337</v>
          </cell>
        </row>
        <row r="1808">
          <cell r="L1808" t="str">
            <v>Clothing</v>
          </cell>
          <cell r="M1808">
            <v>-20.833333333333336</v>
          </cell>
        </row>
        <row r="1809">
          <cell r="L1809" t="str">
            <v>Dont Account For</v>
          </cell>
          <cell r="M1809">
            <v>-92.875</v>
          </cell>
        </row>
        <row r="1810">
          <cell r="L1810" t="str">
            <v>Regular Cost</v>
          </cell>
          <cell r="M1810">
            <v>-31.595833333333335</v>
          </cell>
        </row>
        <row r="1811">
          <cell r="L1811" t="str">
            <v>Gifts</v>
          </cell>
          <cell r="M1811">
            <v>-60.758333333333333</v>
          </cell>
        </row>
        <row r="1812">
          <cell r="L1812" t="str">
            <v>Dont Account For</v>
          </cell>
          <cell r="M1812">
            <v>833.33333333333337</v>
          </cell>
        </row>
        <row r="1813">
          <cell r="L1813" t="str">
            <v>Dont Account For</v>
          </cell>
          <cell r="M1813">
            <v>833.33333333333337</v>
          </cell>
        </row>
        <row r="1814">
          <cell r="L1814" t="str">
            <v>Dont Account For</v>
          </cell>
          <cell r="M1814">
            <v>-86.25</v>
          </cell>
        </row>
        <row r="1815">
          <cell r="L1815" t="str">
            <v>Unknown</v>
          </cell>
          <cell r="M1815">
            <v>-30.983333333333334</v>
          </cell>
        </row>
        <row r="1816">
          <cell r="L1816" t="str">
            <v>Dont Account For</v>
          </cell>
          <cell r="M1816">
            <v>-31.666666666666668</v>
          </cell>
        </row>
        <row r="1817">
          <cell r="L1817" t="str">
            <v>Doctor</v>
          </cell>
          <cell r="M1817">
            <v>-54.38333333333334</v>
          </cell>
        </row>
        <row r="1818">
          <cell r="L1818" t="str">
            <v>Petrol</v>
          </cell>
          <cell r="M1818">
            <v>-27.345833333333331</v>
          </cell>
        </row>
        <row r="1819">
          <cell r="L1819" t="str">
            <v>Dont Account For</v>
          </cell>
          <cell r="M1819">
            <v>-833.33333333333337</v>
          </cell>
        </row>
        <row r="1820">
          <cell r="L1820" t="str">
            <v>Medicare Refund</v>
          </cell>
          <cell r="M1820">
            <v>32.1</v>
          </cell>
        </row>
        <row r="1821">
          <cell r="L1821" t="str">
            <v>Dont Account For</v>
          </cell>
          <cell r="M1821">
            <v>41.666666666666671</v>
          </cell>
        </row>
        <row r="1822">
          <cell r="L1822" t="str">
            <v>Dont Account For</v>
          </cell>
          <cell r="M1822">
            <v>41.666666666666671</v>
          </cell>
        </row>
        <row r="1823">
          <cell r="L1823" t="str">
            <v>Dont Account For</v>
          </cell>
          <cell r="M1823">
            <v>41.666666666666671</v>
          </cell>
        </row>
        <row r="1824">
          <cell r="L1824" t="str">
            <v>Dont Account For</v>
          </cell>
          <cell r="M1824">
            <v>41.666666666666671</v>
          </cell>
        </row>
        <row r="1825">
          <cell r="L1825" t="str">
            <v>Dont Account For</v>
          </cell>
          <cell r="M1825">
            <v>41.666666666666671</v>
          </cell>
        </row>
        <row r="1826">
          <cell r="L1826" t="str">
            <v>Dont Account For</v>
          </cell>
          <cell r="M1826">
            <v>41.666666666666671</v>
          </cell>
        </row>
        <row r="1827">
          <cell r="L1827" t="str">
            <v>Dont Account For</v>
          </cell>
          <cell r="M1827">
            <v>41.666666666666671</v>
          </cell>
        </row>
        <row r="1828">
          <cell r="L1828" t="str">
            <v>Dont Account For</v>
          </cell>
          <cell r="M1828">
            <v>-475</v>
          </cell>
        </row>
        <row r="1829">
          <cell r="L1829" t="str">
            <v>Dont Account For</v>
          </cell>
          <cell r="M1829">
            <v>-312.5</v>
          </cell>
        </row>
        <row r="1830">
          <cell r="L1830" t="str">
            <v>Computer Hardware</v>
          </cell>
          <cell r="M1830">
            <v>-45.462499999999999</v>
          </cell>
        </row>
        <row r="1831">
          <cell r="L1831" t="str">
            <v>Computer Hardware</v>
          </cell>
          <cell r="M1831">
            <v>-116.45000000000002</v>
          </cell>
        </row>
        <row r="1832">
          <cell r="L1832" t="str">
            <v>Computer Books</v>
          </cell>
          <cell r="M1832">
            <v>-49.616666666666667</v>
          </cell>
        </row>
        <row r="1833">
          <cell r="L1833" t="str">
            <v>Optus Mobile</v>
          </cell>
          <cell r="M1833">
            <v>-97.754166666666677</v>
          </cell>
        </row>
        <row r="1834">
          <cell r="L1834" t="str">
            <v>Doctor</v>
          </cell>
          <cell r="M1834">
            <v>-140.17916666666667</v>
          </cell>
        </row>
        <row r="1835">
          <cell r="L1835" t="str">
            <v>Eating Out</v>
          </cell>
          <cell r="M1835">
            <v>-19.604166666666668</v>
          </cell>
        </row>
        <row r="1836">
          <cell r="L1836" t="str">
            <v>Eating Out</v>
          </cell>
          <cell r="M1836">
            <v>-16.662500000000001</v>
          </cell>
        </row>
        <row r="1837">
          <cell r="L1837" t="str">
            <v>Autumn Electricity</v>
          </cell>
          <cell r="M1837">
            <v>-171.37916666666666</v>
          </cell>
        </row>
        <row r="1838">
          <cell r="L1838" t="str">
            <v>Groceries</v>
          </cell>
          <cell r="M1838">
            <v>-200.25000000000003</v>
          </cell>
        </row>
        <row r="1839">
          <cell r="L1839" t="str">
            <v>Eating Out</v>
          </cell>
          <cell r="M1839">
            <v>-42.400000000000006</v>
          </cell>
        </row>
        <row r="1840">
          <cell r="L1840" t="str">
            <v>Optus Home Phone</v>
          </cell>
          <cell r="M1840">
            <v>-59.187500000000007</v>
          </cell>
        </row>
        <row r="1841">
          <cell r="L1841" t="str">
            <v>Dont Account For</v>
          </cell>
          <cell r="M1841">
            <v>-140</v>
          </cell>
        </row>
        <row r="1842">
          <cell r="L1842" t="str">
            <v>Dont Account For</v>
          </cell>
          <cell r="M1842">
            <v>-19.079166666666666</v>
          </cell>
        </row>
        <row r="1843">
          <cell r="L1843" t="str">
            <v>Holiday</v>
          </cell>
          <cell r="M1843">
            <v>-24.133333333333336</v>
          </cell>
        </row>
        <row r="1844">
          <cell r="L1844" t="str">
            <v>Dont Account For</v>
          </cell>
          <cell r="M1844">
            <v>-78.400000000000006</v>
          </cell>
        </row>
        <row r="1845">
          <cell r="L1845" t="str">
            <v>Books, Videos, Magazines</v>
          </cell>
          <cell r="M1845">
            <v>-46.720833333333331</v>
          </cell>
        </row>
        <row r="1846">
          <cell r="L1846" t="str">
            <v>Unknown</v>
          </cell>
          <cell r="M1846">
            <v>-61.845833333333339</v>
          </cell>
        </row>
        <row r="1847">
          <cell r="L1847" t="str">
            <v>Petrol</v>
          </cell>
          <cell r="M1847">
            <v>-76.491666666666674</v>
          </cell>
        </row>
        <row r="1848">
          <cell r="L1848" t="str">
            <v>Books, Videos, Magazines</v>
          </cell>
          <cell r="M1848">
            <v>-286.1541666666667</v>
          </cell>
        </row>
        <row r="1849">
          <cell r="L1849" t="str">
            <v>Dont Account For</v>
          </cell>
          <cell r="M1849">
            <v>41.666666666666671</v>
          </cell>
        </row>
        <row r="1850">
          <cell r="L1850" t="str">
            <v>Dont Account For</v>
          </cell>
          <cell r="M1850">
            <v>41.666666666666671</v>
          </cell>
        </row>
        <row r="1851">
          <cell r="L1851" t="str">
            <v>Dont Account For</v>
          </cell>
          <cell r="M1851">
            <v>41.666666666666671</v>
          </cell>
        </row>
        <row r="1852">
          <cell r="L1852" t="str">
            <v>Dont Account For</v>
          </cell>
          <cell r="M1852">
            <v>41.666666666666671</v>
          </cell>
        </row>
        <row r="1853">
          <cell r="L1853" t="str">
            <v>Dont Account For</v>
          </cell>
          <cell r="M1853">
            <v>41.666666666666671</v>
          </cell>
        </row>
        <row r="1854">
          <cell r="L1854" t="str">
            <v>Dont Account For</v>
          </cell>
          <cell r="M1854">
            <v>41.666666666666671</v>
          </cell>
        </row>
        <row r="1855">
          <cell r="L1855" t="str">
            <v>Dont Account For</v>
          </cell>
          <cell r="M1855">
            <v>-117.11666666666666</v>
          </cell>
        </row>
        <row r="1856">
          <cell r="L1856" t="str">
            <v>Eating Out</v>
          </cell>
          <cell r="M1856">
            <v>-50</v>
          </cell>
        </row>
        <row r="1857">
          <cell r="L1857" t="str">
            <v>Dont Account For</v>
          </cell>
          <cell r="M1857">
            <v>-127.05416666666667</v>
          </cell>
        </row>
        <row r="1858">
          <cell r="L1858" t="str">
            <v>Dont Account For</v>
          </cell>
          <cell r="M1858">
            <v>-58.637499999999996</v>
          </cell>
        </row>
        <row r="1859">
          <cell r="L1859" t="str">
            <v>Dont Account For</v>
          </cell>
          <cell r="M1859">
            <v>-40.4375</v>
          </cell>
        </row>
        <row r="1860">
          <cell r="L1860" t="str">
            <v>Department Store</v>
          </cell>
          <cell r="M1860">
            <v>-85.712500000000006</v>
          </cell>
        </row>
        <row r="1861">
          <cell r="L1861" t="str">
            <v>Groceries</v>
          </cell>
          <cell r="M1861">
            <v>-88.004166666666677</v>
          </cell>
        </row>
        <row r="1862">
          <cell r="L1862" t="str">
            <v>Dont Account For</v>
          </cell>
          <cell r="M1862">
            <v>-18.75</v>
          </cell>
        </row>
        <row r="1863">
          <cell r="L1863" t="str">
            <v>Dont Account For</v>
          </cell>
          <cell r="M1863">
            <v>-34.162500000000001</v>
          </cell>
        </row>
        <row r="1864">
          <cell r="L1864" t="str">
            <v>Regular Cost</v>
          </cell>
          <cell r="M1864">
            <v>-55.375000000000007</v>
          </cell>
        </row>
        <row r="1865">
          <cell r="L1865" t="str">
            <v>Doctor</v>
          </cell>
          <cell r="M1865">
            <v>-29.162499999999998</v>
          </cell>
        </row>
        <row r="1866">
          <cell r="L1866" t="str">
            <v>Books, Videos, Magazines</v>
          </cell>
          <cell r="M1866">
            <v>-70.754166666666677</v>
          </cell>
        </row>
        <row r="1867">
          <cell r="L1867" t="str">
            <v>Groceries</v>
          </cell>
          <cell r="M1867">
            <v>-24.537500000000001</v>
          </cell>
        </row>
        <row r="1868">
          <cell r="L1868" t="str">
            <v>Holiday</v>
          </cell>
          <cell r="M1868">
            <v>-58.329166666666673</v>
          </cell>
        </row>
        <row r="1869">
          <cell r="L1869" t="str">
            <v>Household Items</v>
          </cell>
          <cell r="M1869">
            <v>-54.82500000000001</v>
          </cell>
        </row>
        <row r="1870">
          <cell r="L1870" t="str">
            <v>Eating Out</v>
          </cell>
          <cell r="M1870">
            <v>-32.587499999999999</v>
          </cell>
        </row>
        <row r="1871">
          <cell r="L1871" t="str">
            <v>Groceries</v>
          </cell>
          <cell r="M1871">
            <v>-127.94166666666668</v>
          </cell>
        </row>
        <row r="1872">
          <cell r="L1872" t="str">
            <v>Eating Out</v>
          </cell>
          <cell r="M1872">
            <v>-55.208333333333336</v>
          </cell>
        </row>
        <row r="1873">
          <cell r="L1873" t="str">
            <v>Gifts</v>
          </cell>
          <cell r="M1873">
            <v>-70.3</v>
          </cell>
        </row>
        <row r="1874">
          <cell r="L1874" t="str">
            <v>Eating Out</v>
          </cell>
          <cell r="M1874">
            <v>-18.120833333333334</v>
          </cell>
        </row>
        <row r="1875">
          <cell r="L1875" t="str">
            <v>Stationary</v>
          </cell>
          <cell r="M1875">
            <v>-47.800000000000004</v>
          </cell>
        </row>
        <row r="1876">
          <cell r="L1876" t="str">
            <v>Uniforms</v>
          </cell>
          <cell r="M1876">
            <v>-27.791666666666668</v>
          </cell>
        </row>
        <row r="1877">
          <cell r="L1877" t="str">
            <v>Unknown</v>
          </cell>
          <cell r="M1877">
            <v>-118.59166666666667</v>
          </cell>
        </row>
        <row r="1878">
          <cell r="L1878" t="str">
            <v>Cinema</v>
          </cell>
          <cell r="M1878">
            <v>-22.233333333333334</v>
          </cell>
        </row>
        <row r="1879">
          <cell r="L1879" t="str">
            <v>Unknown</v>
          </cell>
          <cell r="M1879">
            <v>-85.729166666666671</v>
          </cell>
        </row>
        <row r="1880">
          <cell r="L1880" t="str">
            <v>Dont Account For</v>
          </cell>
          <cell r="M1880">
            <v>-159.07499999999999</v>
          </cell>
        </row>
        <row r="1881">
          <cell r="L1881" t="str">
            <v>Doctor</v>
          </cell>
          <cell r="M1881">
            <v>-450</v>
          </cell>
        </row>
        <row r="1882">
          <cell r="L1882" t="str">
            <v>Books, Videos, Magazines</v>
          </cell>
          <cell r="M1882">
            <v>-16.679166666666667</v>
          </cell>
        </row>
        <row r="1883">
          <cell r="L1883" t="str">
            <v>Unknown</v>
          </cell>
          <cell r="M1883">
            <v>-16.708333333333336</v>
          </cell>
        </row>
        <row r="1884">
          <cell r="L1884" t="str">
            <v>Eating Out</v>
          </cell>
          <cell r="M1884">
            <v>-112.65416666666667</v>
          </cell>
        </row>
        <row r="1885">
          <cell r="L1885" t="str">
            <v>Eating Out</v>
          </cell>
          <cell r="M1885">
            <v>-45.183333333333337</v>
          </cell>
        </row>
        <row r="1886">
          <cell r="L1886" t="str">
            <v>Petrol</v>
          </cell>
          <cell r="M1886">
            <v>-86.091666666666669</v>
          </cell>
        </row>
        <row r="1887">
          <cell r="L1887" t="str">
            <v>Dont Account For</v>
          </cell>
          <cell r="M1887">
            <v>-60</v>
          </cell>
        </row>
        <row r="1888">
          <cell r="L1888" t="str">
            <v>Eating Out</v>
          </cell>
          <cell r="M1888">
            <v>-99.262500000000003</v>
          </cell>
        </row>
        <row r="1889">
          <cell r="L1889" t="str">
            <v>Books, Videos, Magazines</v>
          </cell>
          <cell r="M1889">
            <v>-179.19583333333333</v>
          </cell>
        </row>
        <row r="1890">
          <cell r="L1890" t="str">
            <v>Eating Out</v>
          </cell>
          <cell r="M1890">
            <v>-30.358333333333334</v>
          </cell>
        </row>
        <row r="1891">
          <cell r="L1891" t="str">
            <v>Dont Account For</v>
          </cell>
          <cell r="M1891">
            <v>-91.837500000000006</v>
          </cell>
        </row>
        <row r="1892">
          <cell r="L1892" t="str">
            <v>Dont Account For</v>
          </cell>
          <cell r="M1892">
            <v>-153.06250000000003</v>
          </cell>
        </row>
        <row r="1893">
          <cell r="L1893" t="str">
            <v>Eating Out</v>
          </cell>
          <cell r="M1893">
            <v>-67</v>
          </cell>
        </row>
        <row r="1894">
          <cell r="L1894" t="str">
            <v>Dont Account For</v>
          </cell>
          <cell r="M1894">
            <v>-40</v>
          </cell>
        </row>
        <row r="1895">
          <cell r="L1895" t="str">
            <v>Dont Account For</v>
          </cell>
          <cell r="M1895">
            <v>-37.233333333333334</v>
          </cell>
        </row>
        <row r="1896">
          <cell r="L1896" t="str">
            <v>Eating Out</v>
          </cell>
          <cell r="M1896">
            <v>-160.15833333333333</v>
          </cell>
        </row>
        <row r="1897">
          <cell r="L1897" t="str">
            <v>Holiday</v>
          </cell>
          <cell r="M1897">
            <v>-734.70833333333337</v>
          </cell>
        </row>
        <row r="1898">
          <cell r="L1898" t="str">
            <v>Wool</v>
          </cell>
          <cell r="M1898">
            <v>-117.77916666666668</v>
          </cell>
        </row>
        <row r="1899">
          <cell r="L1899" t="str">
            <v>Minerva Maintenance</v>
          </cell>
          <cell r="M1899">
            <v>-297.85833333333335</v>
          </cell>
        </row>
        <row r="1900">
          <cell r="L1900" t="str">
            <v>Dont Account For</v>
          </cell>
          <cell r="M1900">
            <v>8333.3333333333339</v>
          </cell>
        </row>
        <row r="1901">
          <cell r="L1901" t="str">
            <v>Dont Account For</v>
          </cell>
          <cell r="M1901">
            <v>20.833333333333336</v>
          </cell>
        </row>
        <row r="1902">
          <cell r="L1902" t="str">
            <v>Petrol</v>
          </cell>
          <cell r="M1902">
            <v>-73.041666666666671</v>
          </cell>
        </row>
        <row r="1903">
          <cell r="L1903" t="str">
            <v>Groceries</v>
          </cell>
          <cell r="M1903">
            <v>-25.05</v>
          </cell>
        </row>
        <row r="1904">
          <cell r="L1904" t="str">
            <v>Bank Charges</v>
          </cell>
          <cell r="M1904">
            <v>-2.2999999999999998</v>
          </cell>
        </row>
        <row r="1905">
          <cell r="L1905" t="str">
            <v>Bank Charges</v>
          </cell>
          <cell r="M1905">
            <v>-5</v>
          </cell>
        </row>
        <row r="1906">
          <cell r="L1906" t="str">
            <v>Regular Cost</v>
          </cell>
          <cell r="M1906">
            <v>-167.95</v>
          </cell>
        </row>
        <row r="1907">
          <cell r="L1907" t="str">
            <v>Bank Charges</v>
          </cell>
          <cell r="M1907">
            <v>-2</v>
          </cell>
        </row>
        <row r="1908">
          <cell r="L1908" t="str">
            <v>Dont Account For</v>
          </cell>
          <cell r="M1908">
            <v>0.02</v>
          </cell>
        </row>
        <row r="1909">
          <cell r="L1909" t="str">
            <v>Computer Software</v>
          </cell>
          <cell r="M1909">
            <v>-31.74</v>
          </cell>
        </row>
        <row r="1910">
          <cell r="L1910" t="str">
            <v>Bank Charges</v>
          </cell>
          <cell r="M1910">
            <v>-0.78</v>
          </cell>
        </row>
        <row r="1911">
          <cell r="L1911" t="str">
            <v>Minerva Rent</v>
          </cell>
          <cell r="M1911">
            <v>0</v>
          </cell>
        </row>
        <row r="1912">
          <cell r="L1912" t="str">
            <v>Minerva Rent</v>
          </cell>
          <cell r="M1912">
            <v>2823.53</v>
          </cell>
        </row>
        <row r="1913">
          <cell r="L1913" t="str">
            <v>Minerva Agent</v>
          </cell>
          <cell r="M1913">
            <v>-219.12</v>
          </cell>
        </row>
        <row r="1914">
          <cell r="L1914" t="str">
            <v>Minerva Agent</v>
          </cell>
          <cell r="M1914">
            <v>-21.91</v>
          </cell>
        </row>
        <row r="1915">
          <cell r="L1915" t="str">
            <v>Clothing</v>
          </cell>
          <cell r="M1915">
            <v>-521.74583333333339</v>
          </cell>
        </row>
        <row r="1916">
          <cell r="L1916" t="str">
            <v>Regular Cost</v>
          </cell>
          <cell r="M1916">
            <v>-120.075</v>
          </cell>
        </row>
        <row r="1917">
          <cell r="L1917" t="str">
            <v>Clothing</v>
          </cell>
          <cell r="M1917">
            <v>-82.579166666666666</v>
          </cell>
        </row>
        <row r="1918">
          <cell r="L1918" t="str">
            <v>Regular Cost</v>
          </cell>
          <cell r="M1918">
            <v>-61.608333333333341</v>
          </cell>
        </row>
        <row r="1919">
          <cell r="L1919" t="str">
            <v>Eating Out</v>
          </cell>
          <cell r="M1919">
            <v>-54.158333333333331</v>
          </cell>
        </row>
        <row r="1920">
          <cell r="L1920" t="str">
            <v>Dont Account For</v>
          </cell>
          <cell r="M1920">
            <v>5</v>
          </cell>
        </row>
        <row r="1921">
          <cell r="L1921" t="str">
            <v>Unknown</v>
          </cell>
          <cell r="M1921">
            <v>-37.00416666666667</v>
          </cell>
        </row>
        <row r="1922">
          <cell r="L1922" t="str">
            <v>Dont Account For</v>
          </cell>
          <cell r="M1922">
            <v>20.833333333333336</v>
          </cell>
        </row>
        <row r="1923">
          <cell r="L1923" t="str">
            <v>Dont Account For</v>
          </cell>
          <cell r="M1923">
            <v>-52</v>
          </cell>
        </row>
        <row r="1924">
          <cell r="L1924" t="str">
            <v>Dont Account For</v>
          </cell>
          <cell r="M1924">
            <v>4.166666666666667</v>
          </cell>
        </row>
        <row r="1925">
          <cell r="L1925" t="str">
            <v>Dont Account For</v>
          </cell>
          <cell r="M1925">
            <v>-50</v>
          </cell>
        </row>
        <row r="1926">
          <cell r="L1926" t="str">
            <v>Eating Out</v>
          </cell>
          <cell r="M1926">
            <v>-10.15</v>
          </cell>
        </row>
        <row r="1927">
          <cell r="L1927" t="str">
            <v>Chemist</v>
          </cell>
          <cell r="M1927">
            <v>-60.15</v>
          </cell>
        </row>
        <row r="1928">
          <cell r="L1928" t="str">
            <v>Dont Account For</v>
          </cell>
          <cell r="M1928">
            <v>-20.833333333333336</v>
          </cell>
        </row>
        <row r="1929">
          <cell r="L1929" t="str">
            <v>Dont Account For</v>
          </cell>
          <cell r="M1929">
            <v>791.66666666666674</v>
          </cell>
        </row>
        <row r="1930">
          <cell r="L1930" t="str">
            <v>Dont Account For</v>
          </cell>
          <cell r="M1930">
            <v>166.66666666666669</v>
          </cell>
        </row>
        <row r="1931">
          <cell r="L1931" t="str">
            <v>Dont Account For</v>
          </cell>
          <cell r="M1931">
            <v>41.666666666666671</v>
          </cell>
        </row>
        <row r="1932">
          <cell r="L1932" t="str">
            <v>Dont Account For</v>
          </cell>
          <cell r="M1932">
            <v>41.666666666666671</v>
          </cell>
        </row>
        <row r="1933">
          <cell r="L1933" t="str">
            <v>Dont Account For</v>
          </cell>
          <cell r="M1933">
            <v>41.666666666666671</v>
          </cell>
        </row>
        <row r="1934">
          <cell r="L1934" t="str">
            <v>Dont Account For</v>
          </cell>
          <cell r="M1934">
            <v>41.666666666666671</v>
          </cell>
        </row>
        <row r="1935">
          <cell r="L1935" t="str">
            <v>Dont Account For</v>
          </cell>
          <cell r="M1935">
            <v>41.666666666666671</v>
          </cell>
        </row>
        <row r="1936">
          <cell r="L1936" t="str">
            <v>Dont Account For</v>
          </cell>
          <cell r="M1936">
            <v>41.666666666666671</v>
          </cell>
        </row>
        <row r="1937">
          <cell r="L1937" t="str">
            <v>Dont Account For</v>
          </cell>
          <cell r="M1937">
            <v>41.666666666666671</v>
          </cell>
        </row>
        <row r="1938">
          <cell r="L1938" t="str">
            <v>Dont Account For</v>
          </cell>
          <cell r="M1938">
            <v>41.666666666666671</v>
          </cell>
        </row>
        <row r="1939">
          <cell r="L1939" t="str">
            <v>Dont Account For</v>
          </cell>
          <cell r="M1939">
            <v>41.666666666666671</v>
          </cell>
        </row>
        <row r="1940">
          <cell r="L1940" t="str">
            <v>Dont Account For</v>
          </cell>
          <cell r="M1940">
            <v>41.666666666666671</v>
          </cell>
        </row>
        <row r="1941">
          <cell r="L1941" t="str">
            <v>Dont Account For</v>
          </cell>
          <cell r="M1941">
            <v>41.666666666666671</v>
          </cell>
        </row>
        <row r="1942">
          <cell r="L1942" t="str">
            <v>Dont Account For</v>
          </cell>
          <cell r="M1942">
            <v>41.666666666666671</v>
          </cell>
        </row>
        <row r="1943">
          <cell r="L1943" t="str">
            <v>Dont Account For</v>
          </cell>
          <cell r="M1943">
            <v>41.666666666666671</v>
          </cell>
        </row>
        <row r="1944">
          <cell r="L1944" t="str">
            <v>Dont Account For</v>
          </cell>
          <cell r="M1944">
            <v>41.666666666666671</v>
          </cell>
        </row>
        <row r="1945">
          <cell r="L1945" t="str">
            <v>Dont Account For</v>
          </cell>
          <cell r="M1945">
            <v>41.666666666666671</v>
          </cell>
        </row>
        <row r="1946">
          <cell r="L1946" t="str">
            <v>Dont Account For</v>
          </cell>
          <cell r="M1946">
            <v>41.666666666666671</v>
          </cell>
        </row>
        <row r="1947">
          <cell r="L1947" t="str">
            <v>Dont Account For</v>
          </cell>
          <cell r="M1947">
            <v>41.666666666666671</v>
          </cell>
        </row>
        <row r="1948">
          <cell r="L1948" t="str">
            <v>Dont Account For</v>
          </cell>
          <cell r="M1948">
            <v>41.666666666666671</v>
          </cell>
        </row>
        <row r="1949">
          <cell r="L1949" t="str">
            <v>Dont Account For</v>
          </cell>
          <cell r="M1949">
            <v>41.666666666666671</v>
          </cell>
        </row>
        <row r="1950">
          <cell r="L1950" t="str">
            <v>Dont Account For</v>
          </cell>
          <cell r="M1950">
            <v>41.666666666666671</v>
          </cell>
        </row>
        <row r="1951">
          <cell r="L1951" t="str">
            <v>Dont Account For</v>
          </cell>
          <cell r="M1951">
            <v>41.666666666666671</v>
          </cell>
        </row>
        <row r="1952">
          <cell r="L1952" t="str">
            <v>Dont Account For</v>
          </cell>
          <cell r="M1952">
            <v>41.666666666666671</v>
          </cell>
        </row>
        <row r="1953">
          <cell r="L1953" t="str">
            <v>Dont Account For</v>
          </cell>
          <cell r="M1953">
            <v>41.666666666666671</v>
          </cell>
        </row>
        <row r="1954">
          <cell r="L1954" t="str">
            <v>Dont Account For</v>
          </cell>
          <cell r="M1954">
            <v>-10.416666666666668</v>
          </cell>
        </row>
        <row r="1955">
          <cell r="L1955" t="str">
            <v>Dont Account For</v>
          </cell>
          <cell r="M1955">
            <v>45.833333333333336</v>
          </cell>
        </row>
        <row r="1956">
          <cell r="L1956" t="str">
            <v>Dont Account For</v>
          </cell>
          <cell r="M1956">
            <v>18.75</v>
          </cell>
        </row>
        <row r="1957">
          <cell r="L1957" t="str">
            <v>Dont Account For</v>
          </cell>
          <cell r="M1957">
            <v>20.833333333333336</v>
          </cell>
        </row>
        <row r="1958">
          <cell r="L1958" t="str">
            <v>Dont Account For</v>
          </cell>
          <cell r="M1958">
            <v>-10.416666666666668</v>
          </cell>
        </row>
        <row r="1959">
          <cell r="L1959" t="str">
            <v>Groceries</v>
          </cell>
          <cell r="M1959">
            <v>-205.65416666666667</v>
          </cell>
        </row>
        <row r="1960">
          <cell r="L1960" t="str">
            <v>Computer Software</v>
          </cell>
          <cell r="M1960">
            <v>-278.62916666666672</v>
          </cell>
        </row>
        <row r="1961">
          <cell r="L1961" t="str">
            <v>Unknown</v>
          </cell>
          <cell r="M1961">
            <v>-42.733333333333334</v>
          </cell>
        </row>
        <row r="1962">
          <cell r="L1962" t="str">
            <v>Eating Out</v>
          </cell>
          <cell r="M1962">
            <v>-73.8125</v>
          </cell>
        </row>
        <row r="1963">
          <cell r="L1963" t="str">
            <v>Regular Cost</v>
          </cell>
          <cell r="M1963">
            <v>-85.266666666666666</v>
          </cell>
        </row>
        <row r="1964">
          <cell r="L1964" t="str">
            <v>Unknown</v>
          </cell>
          <cell r="M1964">
            <v>-15</v>
          </cell>
        </row>
        <row r="1965">
          <cell r="L1965" t="str">
            <v>Books, Videos, Magazines</v>
          </cell>
          <cell r="M1965">
            <v>-27.94166666666667</v>
          </cell>
        </row>
        <row r="1966">
          <cell r="L1966" t="str">
            <v>Unknown</v>
          </cell>
          <cell r="M1966">
            <v>-36.799999999999997</v>
          </cell>
        </row>
        <row r="1967">
          <cell r="L1967" t="str">
            <v>Gifts</v>
          </cell>
          <cell r="M1967">
            <v>-33.112500000000004</v>
          </cell>
        </row>
        <row r="1968">
          <cell r="L1968" t="str">
            <v>Dont Account For</v>
          </cell>
          <cell r="M1968">
            <v>2291.666666666667</v>
          </cell>
        </row>
        <row r="1969">
          <cell r="L1969" t="str">
            <v>Dont Account For</v>
          </cell>
          <cell r="M1969">
            <v>-2291.666666666667</v>
          </cell>
        </row>
        <row r="1970">
          <cell r="L1970" t="str">
            <v>Dont Account For</v>
          </cell>
          <cell r="M1970">
            <v>2500</v>
          </cell>
        </row>
        <row r="1971">
          <cell r="L1971" t="str">
            <v>Stationary</v>
          </cell>
          <cell r="M1971">
            <v>-13.55</v>
          </cell>
        </row>
        <row r="1972">
          <cell r="L1972" t="str">
            <v>Dont Account For</v>
          </cell>
          <cell r="M1972">
            <v>-15.85</v>
          </cell>
        </row>
        <row r="1973">
          <cell r="L1973" t="str">
            <v>Eating Out</v>
          </cell>
          <cell r="M1973">
            <v>-11.3</v>
          </cell>
        </row>
        <row r="1974">
          <cell r="L1974" t="str">
            <v>Gifts</v>
          </cell>
          <cell r="M1974">
            <v>-22.537500000000001</v>
          </cell>
        </row>
        <row r="1975">
          <cell r="L1975" t="str">
            <v>Activities</v>
          </cell>
          <cell r="M1975">
            <v>-61.237500000000004</v>
          </cell>
        </row>
        <row r="1976">
          <cell r="L1976" t="str">
            <v>Eating Out</v>
          </cell>
          <cell r="M1976">
            <v>-43.479166666666664</v>
          </cell>
        </row>
        <row r="1977">
          <cell r="L1977" t="str">
            <v>Bank Charges</v>
          </cell>
          <cell r="M1977">
            <v>-23.387500000000003</v>
          </cell>
        </row>
        <row r="1978">
          <cell r="L1978" t="str">
            <v>Dont Account For</v>
          </cell>
          <cell r="M1978">
            <v>41.666666666666671</v>
          </cell>
        </row>
        <row r="1979">
          <cell r="L1979" t="str">
            <v>Dont Account For</v>
          </cell>
          <cell r="M1979">
            <v>41.666666666666671</v>
          </cell>
        </row>
        <row r="1980">
          <cell r="L1980" t="str">
            <v>Wool</v>
          </cell>
          <cell r="M1980">
            <v>-12.97</v>
          </cell>
        </row>
        <row r="1981">
          <cell r="L1981" t="str">
            <v>Dont Account For</v>
          </cell>
          <cell r="M1981">
            <v>-50</v>
          </cell>
        </row>
        <row r="1982">
          <cell r="L1982" t="str">
            <v>Dont Account For</v>
          </cell>
          <cell r="M1982">
            <v>-100</v>
          </cell>
        </row>
        <row r="1983">
          <cell r="L1983" t="str">
            <v>Medicare Refund</v>
          </cell>
          <cell r="M1983">
            <v>32.1</v>
          </cell>
        </row>
        <row r="1984">
          <cell r="L1984" t="str">
            <v>Dont Account For</v>
          </cell>
          <cell r="M1984">
            <v>-16.666666666666668</v>
          </cell>
        </row>
        <row r="1985">
          <cell r="L1985" t="str">
            <v>Dont Account For</v>
          </cell>
          <cell r="M1985">
            <v>-80</v>
          </cell>
        </row>
        <row r="1986">
          <cell r="L1986" t="str">
            <v>Bank Charges</v>
          </cell>
          <cell r="M1986">
            <v>-1.5</v>
          </cell>
        </row>
        <row r="1987">
          <cell r="L1987" t="str">
            <v>Dont Account For</v>
          </cell>
          <cell r="M1987">
            <v>-40</v>
          </cell>
        </row>
        <row r="1988">
          <cell r="L1988" t="str">
            <v>Groceries</v>
          </cell>
          <cell r="M1988">
            <v>-120.72500000000001</v>
          </cell>
        </row>
        <row r="1989">
          <cell r="L1989" t="str">
            <v>Dont Account For</v>
          </cell>
          <cell r="M1989">
            <v>-39.837499999999999</v>
          </cell>
        </row>
        <row r="1990">
          <cell r="L1990" t="str">
            <v>Wool</v>
          </cell>
          <cell r="M1990">
            <v>-78.95416666666668</v>
          </cell>
        </row>
        <row r="1991">
          <cell r="L1991" t="str">
            <v>Doctor</v>
          </cell>
          <cell r="M1991">
            <v>-88.32083333333334</v>
          </cell>
        </row>
        <row r="1992">
          <cell r="L1992" t="str">
            <v>Dont Account For</v>
          </cell>
          <cell r="M1992">
            <v>-16.366666666666667</v>
          </cell>
        </row>
        <row r="1993">
          <cell r="L1993" t="str">
            <v>Dont Account For</v>
          </cell>
          <cell r="M1993">
            <v>-88.13333333333334</v>
          </cell>
        </row>
        <row r="1994">
          <cell r="L1994" t="str">
            <v>Dont Account For</v>
          </cell>
          <cell r="M1994">
            <v>-88.13333333333334</v>
          </cell>
        </row>
        <row r="1995">
          <cell r="L1995" t="str">
            <v>Dont Account For</v>
          </cell>
          <cell r="M1995">
            <v>-88.13333333333334</v>
          </cell>
        </row>
        <row r="1996">
          <cell r="L1996" t="str">
            <v>Dont Account For</v>
          </cell>
          <cell r="M1996">
            <v>-158.61250000000001</v>
          </cell>
        </row>
        <row r="1997">
          <cell r="L1997" t="str">
            <v>Dont Account For</v>
          </cell>
          <cell r="M1997">
            <v>88.13333333333334</v>
          </cell>
        </row>
        <row r="1998">
          <cell r="L1998" t="str">
            <v>Dont Account For</v>
          </cell>
          <cell r="M1998">
            <v>88.13333333333334</v>
          </cell>
        </row>
        <row r="1999">
          <cell r="M1999">
            <v>-85.25833333333334</v>
          </cell>
        </row>
        <row r="2000">
          <cell r="L2000" t="str">
            <v>Books, Videos, Magazines</v>
          </cell>
          <cell r="M2000">
            <v>-35.854166666666664</v>
          </cell>
        </row>
        <row r="2001">
          <cell r="L2001" t="str">
            <v>Clothing</v>
          </cell>
          <cell r="M2001">
            <v>-79.895833333333343</v>
          </cell>
        </row>
        <row r="2002">
          <cell r="L2002" t="str">
            <v>Pump Supplies</v>
          </cell>
          <cell r="M2002">
            <v>-71.904166666666669</v>
          </cell>
        </row>
        <row r="2003">
          <cell r="L2003" t="str">
            <v>Petrol</v>
          </cell>
          <cell r="M2003">
            <v>-75.849999999999994</v>
          </cell>
        </row>
        <row r="2004">
          <cell r="L2004" t="str">
            <v>Doctor</v>
          </cell>
          <cell r="M2004">
            <v>-66.912500000000009</v>
          </cell>
        </row>
        <row r="2005">
          <cell r="L2005" t="str">
            <v>Gifts</v>
          </cell>
          <cell r="M2005">
            <v>-36.383333333333333</v>
          </cell>
        </row>
        <row r="2006">
          <cell r="L2006" t="str">
            <v>Dont Account For</v>
          </cell>
          <cell r="M2006">
            <v>-70.416666666666671</v>
          </cell>
        </row>
        <row r="2007">
          <cell r="L2007" t="str">
            <v>Dont Account For</v>
          </cell>
          <cell r="M2007">
            <v>-25.208333333333336</v>
          </cell>
        </row>
        <row r="2008">
          <cell r="L2008" t="str">
            <v>Pump Supplies</v>
          </cell>
          <cell r="M2008">
            <v>-59.25416666666667</v>
          </cell>
        </row>
        <row r="2009">
          <cell r="L2009" t="str">
            <v>Regular Cost</v>
          </cell>
          <cell r="M2009">
            <v>-11.5</v>
          </cell>
        </row>
        <row r="2010">
          <cell r="L2010" t="str">
            <v>Eating Out</v>
          </cell>
          <cell r="M2010">
            <v>-35.9375</v>
          </cell>
        </row>
        <row r="2011">
          <cell r="L2011" t="str">
            <v>Books, Videos, Magazines</v>
          </cell>
          <cell r="M2011">
            <v>-31.604166666666664</v>
          </cell>
        </row>
        <row r="2012">
          <cell r="L2012" t="str">
            <v>Chemist</v>
          </cell>
          <cell r="M2012">
            <v>-72.05</v>
          </cell>
        </row>
        <row r="2013">
          <cell r="L2013" t="str">
            <v>Books, Videos, Magazines</v>
          </cell>
          <cell r="M2013">
            <v>-192.36250000000001</v>
          </cell>
        </row>
        <row r="2014">
          <cell r="L2014" t="str">
            <v>Groceries</v>
          </cell>
          <cell r="M2014">
            <v>-58.204166666666666</v>
          </cell>
        </row>
        <row r="2015">
          <cell r="L2015" t="str">
            <v>Regular Cost</v>
          </cell>
          <cell r="M2015">
            <v>-31.725000000000001</v>
          </cell>
        </row>
        <row r="2016">
          <cell r="L2016" t="str">
            <v>Unknown</v>
          </cell>
          <cell r="M2016">
            <v>-17.104166666666668</v>
          </cell>
        </row>
        <row r="2017">
          <cell r="L2017" t="str">
            <v>Dont Account For</v>
          </cell>
          <cell r="M2017">
            <v>-32.5</v>
          </cell>
        </row>
        <row r="2018">
          <cell r="L2018" t="str">
            <v>Dont Account For</v>
          </cell>
          <cell r="M2018">
            <v>-37.800000000000004</v>
          </cell>
        </row>
        <row r="2019">
          <cell r="L2019" t="str">
            <v>Regular Cost</v>
          </cell>
          <cell r="M2019">
            <v>-150</v>
          </cell>
        </row>
        <row r="2020">
          <cell r="L2020" t="str">
            <v>Dont Account For</v>
          </cell>
          <cell r="M2020">
            <v>-150</v>
          </cell>
        </row>
        <row r="2021">
          <cell r="L2021" t="str">
            <v>Unknown</v>
          </cell>
          <cell r="M2021">
            <v>-60</v>
          </cell>
        </row>
        <row r="2022">
          <cell r="L2022" t="str">
            <v>Doctor</v>
          </cell>
          <cell r="M2022">
            <v>-196.20416666666668</v>
          </cell>
        </row>
        <row r="2023">
          <cell r="L2023" t="str">
            <v>Groceries</v>
          </cell>
          <cell r="M2023">
            <v>-378.27083333333337</v>
          </cell>
        </row>
        <row r="2024">
          <cell r="L2024" t="str">
            <v>Eating Out</v>
          </cell>
          <cell r="M2024">
            <v>-27.795833333333331</v>
          </cell>
        </row>
        <row r="2025">
          <cell r="L2025" t="str">
            <v>Groceries</v>
          </cell>
          <cell r="M2025">
            <v>-44.820833333333333</v>
          </cell>
        </row>
        <row r="2026">
          <cell r="L2026" t="str">
            <v>Dont Account For</v>
          </cell>
          <cell r="M2026">
            <v>-70.833333333333343</v>
          </cell>
        </row>
        <row r="2027">
          <cell r="L2027" t="str">
            <v>Chemist</v>
          </cell>
          <cell r="M2027">
            <v>-32.008333333333333</v>
          </cell>
        </row>
        <row r="2028">
          <cell r="L2028" t="str">
            <v>Computer Books</v>
          </cell>
          <cell r="M2028">
            <v>-53.94166666666667</v>
          </cell>
        </row>
        <row r="2029">
          <cell r="L2029" t="str">
            <v>VOIP</v>
          </cell>
          <cell r="M2029">
            <v>-72.44583333333334</v>
          </cell>
        </row>
        <row r="2030">
          <cell r="L2030" t="str">
            <v>Dont Account For</v>
          </cell>
          <cell r="M2030">
            <v>-35.587499999999999</v>
          </cell>
        </row>
        <row r="2031">
          <cell r="L2031" t="str">
            <v>Eating Out</v>
          </cell>
          <cell r="M2031">
            <v>-59.629166666666677</v>
          </cell>
        </row>
        <row r="2032">
          <cell r="L2032" t="str">
            <v>Dont Account For</v>
          </cell>
          <cell r="M2032">
            <v>-42.716666666666669</v>
          </cell>
        </row>
        <row r="2033">
          <cell r="L2033" t="str">
            <v>Dont Account For</v>
          </cell>
          <cell r="M2033">
            <v>-64.404166666666669</v>
          </cell>
        </row>
        <row r="2034">
          <cell r="L2034" t="str">
            <v>Dont Account For</v>
          </cell>
          <cell r="M2034">
            <v>-150</v>
          </cell>
        </row>
        <row r="2035">
          <cell r="L2035" t="str">
            <v>Dont Account For</v>
          </cell>
          <cell r="M2035">
            <v>41.666666666666671</v>
          </cell>
        </row>
        <row r="2036">
          <cell r="L2036" t="str">
            <v>Dont Account For</v>
          </cell>
          <cell r="M2036">
            <v>41.666666666666671</v>
          </cell>
        </row>
        <row r="2037">
          <cell r="L2037" t="str">
            <v>Dont Account For</v>
          </cell>
          <cell r="M2037">
            <v>41.666666666666671</v>
          </cell>
        </row>
        <row r="2038">
          <cell r="L2038" t="str">
            <v>Clothing</v>
          </cell>
          <cell r="M2038">
            <v>-14.3</v>
          </cell>
        </row>
        <row r="2039">
          <cell r="L2039" t="str">
            <v>Dont Account For</v>
          </cell>
          <cell r="M2039">
            <v>-63.95</v>
          </cell>
        </row>
        <row r="2040">
          <cell r="L2040" t="str">
            <v>Minerva WaterSewage</v>
          </cell>
          <cell r="M2040">
            <v>-117.53749999999999</v>
          </cell>
        </row>
        <row r="2041">
          <cell r="L2041" t="str">
            <v>Household Items</v>
          </cell>
          <cell r="M2041">
            <v>-22.908333333333331</v>
          </cell>
        </row>
        <row r="2042">
          <cell r="L2042" t="str">
            <v>Computer Books</v>
          </cell>
          <cell r="M2042">
            <v>-57.754166666666677</v>
          </cell>
        </row>
        <row r="2043">
          <cell r="L2043" t="str">
            <v>Clothing</v>
          </cell>
          <cell r="M2043">
            <v>-14.3</v>
          </cell>
        </row>
        <row r="2044">
          <cell r="L2044" t="str">
            <v>Dont Account For</v>
          </cell>
          <cell r="M2044">
            <v>-63.95</v>
          </cell>
        </row>
        <row r="2045">
          <cell r="L2045" t="str">
            <v>Dont Account For</v>
          </cell>
          <cell r="M2045">
            <v>-10.416666666666668</v>
          </cell>
        </row>
        <row r="2046">
          <cell r="L2046" t="str">
            <v>Dont Account For</v>
          </cell>
          <cell r="M2046">
            <v>-29.166666666666668</v>
          </cell>
        </row>
        <row r="2047">
          <cell r="L2047" t="str">
            <v>Unknown</v>
          </cell>
          <cell r="M2047">
            <v>-135.85</v>
          </cell>
        </row>
        <row r="2048">
          <cell r="L2048" t="str">
            <v>Groceries</v>
          </cell>
          <cell r="M2048">
            <v>-12.35</v>
          </cell>
        </row>
        <row r="2049">
          <cell r="L2049" t="str">
            <v>Optus Home Phone</v>
          </cell>
          <cell r="M2049">
            <v>-66.45416666666668</v>
          </cell>
        </row>
        <row r="2050">
          <cell r="L2050" t="str">
            <v>Dont Account For</v>
          </cell>
          <cell r="M2050">
            <v>-127.75000000000001</v>
          </cell>
        </row>
        <row r="2051">
          <cell r="L2051" t="str">
            <v>Optus Mobile</v>
          </cell>
          <cell r="M2051">
            <v>-98.11666666666666</v>
          </cell>
        </row>
        <row r="2052">
          <cell r="L2052" t="str">
            <v>Unknown</v>
          </cell>
          <cell r="M2052">
            <v>-135.85</v>
          </cell>
        </row>
        <row r="2053">
          <cell r="L2053" t="str">
            <v>Groceries</v>
          </cell>
          <cell r="M2053">
            <v>-12.35</v>
          </cell>
        </row>
        <row r="2054">
          <cell r="L2054" t="str">
            <v>Dont Account For</v>
          </cell>
          <cell r="M2054">
            <v>-10.416666666666668</v>
          </cell>
        </row>
        <row r="2055">
          <cell r="L2055" t="str">
            <v>Dont Account For</v>
          </cell>
          <cell r="M2055">
            <v>-13</v>
          </cell>
        </row>
        <row r="2056">
          <cell r="L2056" t="str">
            <v>Regular Cost</v>
          </cell>
          <cell r="M2056">
            <v>-16.3</v>
          </cell>
        </row>
        <row r="2057">
          <cell r="L2057" t="str">
            <v>Groceries</v>
          </cell>
          <cell r="M2057">
            <v>-55.537500000000001</v>
          </cell>
        </row>
        <row r="2058">
          <cell r="L2058" t="str">
            <v>Chemist</v>
          </cell>
          <cell r="M2058">
            <v>-20.112500000000001</v>
          </cell>
        </row>
        <row r="2059">
          <cell r="L2059" t="str">
            <v>Dont Account For</v>
          </cell>
          <cell r="M2059">
            <v>-13</v>
          </cell>
        </row>
        <row r="2060">
          <cell r="L2060" t="str">
            <v>Regular Cost</v>
          </cell>
          <cell r="M2060">
            <v>-16.3</v>
          </cell>
        </row>
        <row r="2061">
          <cell r="L2061" t="str">
            <v>Groceries</v>
          </cell>
          <cell r="M2061">
            <v>-54</v>
          </cell>
        </row>
        <row r="2062">
          <cell r="L2062" t="str">
            <v>Dont Account For</v>
          </cell>
          <cell r="M2062">
            <v>125</v>
          </cell>
        </row>
        <row r="2063">
          <cell r="L2063" t="str">
            <v>Groceries</v>
          </cell>
          <cell r="M2063">
            <v>-54</v>
          </cell>
        </row>
        <row r="2064">
          <cell r="L2064" t="str">
            <v>Dont Account For</v>
          </cell>
          <cell r="M2064">
            <v>-9.9499999999999993</v>
          </cell>
        </row>
        <row r="2065">
          <cell r="L2065" t="str">
            <v>Dont Account For</v>
          </cell>
          <cell r="M2065">
            <v>-50</v>
          </cell>
        </row>
        <row r="2066">
          <cell r="L2066" t="str">
            <v>Medicare Refund</v>
          </cell>
          <cell r="M2066">
            <v>32.1</v>
          </cell>
        </row>
        <row r="2067">
          <cell r="L2067" t="str">
            <v>Dont Account For</v>
          </cell>
          <cell r="M2067">
            <v>-268.75</v>
          </cell>
        </row>
        <row r="2068">
          <cell r="L2068" t="str">
            <v>Dont Account For</v>
          </cell>
          <cell r="M2068">
            <v>-45.604166666666671</v>
          </cell>
        </row>
        <row r="2069">
          <cell r="L2069" t="str">
            <v>Dont Account For</v>
          </cell>
          <cell r="M2069">
            <v>41.666666666666671</v>
          </cell>
        </row>
        <row r="2070">
          <cell r="L2070" t="str">
            <v>Dont Account For</v>
          </cell>
          <cell r="M2070">
            <v>41.666666666666671</v>
          </cell>
        </row>
        <row r="2071">
          <cell r="L2071" t="str">
            <v>Dont Account For</v>
          </cell>
          <cell r="M2071">
            <v>41.666666666666671</v>
          </cell>
        </row>
        <row r="2072">
          <cell r="L2072" t="str">
            <v>Dont Account For</v>
          </cell>
          <cell r="M2072">
            <v>20.833333333333336</v>
          </cell>
        </row>
        <row r="2073">
          <cell r="L2073" t="str">
            <v>Dont Account For</v>
          </cell>
          <cell r="M2073">
            <v>41.666666666666671</v>
          </cell>
        </row>
        <row r="2074">
          <cell r="L2074" t="str">
            <v>Dont Account For</v>
          </cell>
          <cell r="M2074">
            <v>-62.5</v>
          </cell>
        </row>
        <row r="2075">
          <cell r="L2075" t="str">
            <v>Dont Account For</v>
          </cell>
          <cell r="M2075">
            <v>-87.5</v>
          </cell>
        </row>
        <row r="2076">
          <cell r="L2076" t="str">
            <v>Regular Cost</v>
          </cell>
          <cell r="M2076">
            <v>-124.51666666666667</v>
          </cell>
        </row>
        <row r="2077">
          <cell r="L2077" t="str">
            <v>Eating Out</v>
          </cell>
          <cell r="M2077">
            <v>-113.675</v>
          </cell>
        </row>
        <row r="2078">
          <cell r="L2078" t="str">
            <v>Petrol</v>
          </cell>
          <cell r="M2078">
            <v>-93.0625</v>
          </cell>
        </row>
        <row r="2079">
          <cell r="L2079" t="str">
            <v>Wool</v>
          </cell>
          <cell r="M2079">
            <v>-82.095833333333331</v>
          </cell>
        </row>
        <row r="2080">
          <cell r="L2080" t="str">
            <v>Doctor</v>
          </cell>
          <cell r="M2080">
            <v>-68.704166666666666</v>
          </cell>
        </row>
        <row r="2081">
          <cell r="L2081" t="str">
            <v>Groceries</v>
          </cell>
          <cell r="M2081">
            <v>-123.88333333333334</v>
          </cell>
        </row>
        <row r="2082">
          <cell r="L2082" t="str">
            <v>Unknown</v>
          </cell>
          <cell r="M2082">
            <v>-58.670833333333334</v>
          </cell>
        </row>
        <row r="2083">
          <cell r="L2083" t="str">
            <v>Regular Cost</v>
          </cell>
          <cell r="M2083">
            <v>-30</v>
          </cell>
        </row>
        <row r="2084">
          <cell r="L2084" t="str">
            <v>Computer Hardware</v>
          </cell>
          <cell r="M2084">
            <v>-100</v>
          </cell>
        </row>
        <row r="2085">
          <cell r="L2085" t="str">
            <v>Dont Account For</v>
          </cell>
          <cell r="M2085">
            <v>-27.533333333333335</v>
          </cell>
        </row>
        <row r="2086">
          <cell r="L2086" t="str">
            <v>Stationary</v>
          </cell>
          <cell r="M2086">
            <v>-74.650000000000006</v>
          </cell>
        </row>
        <row r="2087">
          <cell r="L2087" t="str">
            <v>Household Items</v>
          </cell>
          <cell r="M2087">
            <v>-12.2</v>
          </cell>
        </row>
        <row r="2088">
          <cell r="L2088" t="str">
            <v>Doctor</v>
          </cell>
          <cell r="M2088">
            <v>-100</v>
          </cell>
        </row>
        <row r="2089">
          <cell r="L2089" t="str">
            <v>Dont Account For</v>
          </cell>
          <cell r="M2089">
            <v>-41.25</v>
          </cell>
        </row>
        <row r="2090">
          <cell r="L2090" t="str">
            <v>Regular Cost</v>
          </cell>
          <cell r="M2090">
            <v>-40.220833333333339</v>
          </cell>
        </row>
        <row r="2091">
          <cell r="L2091" t="str">
            <v>Eating Out</v>
          </cell>
          <cell r="M2091">
            <v>-66.458333333333343</v>
          </cell>
        </row>
        <row r="2092">
          <cell r="L2092" t="str">
            <v>Unknown</v>
          </cell>
          <cell r="M2092">
            <v>-44.929166666666667</v>
          </cell>
        </row>
        <row r="2093">
          <cell r="L2093" t="str">
            <v>Unknown</v>
          </cell>
          <cell r="M2093">
            <v>-196.10416666666666</v>
          </cell>
        </row>
        <row r="2094">
          <cell r="L2094" t="str">
            <v>Minerva Maintenance</v>
          </cell>
          <cell r="M2094">
            <v>-471.39583333333331</v>
          </cell>
        </row>
        <row r="2095">
          <cell r="L2095" t="str">
            <v>Dont Account For</v>
          </cell>
          <cell r="M2095">
            <v>-32.683333333333337</v>
          </cell>
        </row>
        <row r="2096">
          <cell r="L2096" t="str">
            <v>Unknown</v>
          </cell>
          <cell r="M2096">
            <v>-232.29166666666669</v>
          </cell>
        </row>
        <row r="2097">
          <cell r="L2097" t="str">
            <v>Eating Out</v>
          </cell>
          <cell r="M2097">
            <v>-32.299999999999997</v>
          </cell>
        </row>
        <row r="2098">
          <cell r="L2098" t="str">
            <v>Eating Out</v>
          </cell>
          <cell r="M2098">
            <v>-101.22916666666667</v>
          </cell>
        </row>
        <row r="2099">
          <cell r="L2099" t="str">
            <v>Doctor</v>
          </cell>
          <cell r="M2099">
            <v>-69.4375</v>
          </cell>
        </row>
        <row r="2100">
          <cell r="L2100" t="str">
            <v>Groceries</v>
          </cell>
          <cell r="M2100">
            <v>-60.158333333333331</v>
          </cell>
        </row>
        <row r="2101">
          <cell r="L2101" t="str">
            <v>Groceries</v>
          </cell>
          <cell r="M2101">
            <v>-277.5916666666667</v>
          </cell>
        </row>
        <row r="2102">
          <cell r="L2102" t="str">
            <v>Books, Videos, Magazines</v>
          </cell>
          <cell r="M2102">
            <v>-188.97083333333333</v>
          </cell>
        </row>
        <row r="2103">
          <cell r="L2103" t="str">
            <v>Dont Account For</v>
          </cell>
          <cell r="M2103">
            <v>-25</v>
          </cell>
        </row>
        <row r="2104">
          <cell r="L2104" t="str">
            <v>Medicare Refund</v>
          </cell>
          <cell r="M2104">
            <v>32.1</v>
          </cell>
        </row>
        <row r="2105">
          <cell r="L2105" t="str">
            <v>Unknown</v>
          </cell>
          <cell r="M2105">
            <v>-75</v>
          </cell>
        </row>
        <row r="2106">
          <cell r="L2106" t="str">
            <v>Eating Out</v>
          </cell>
          <cell r="M2106">
            <v>-103.53333333333333</v>
          </cell>
        </row>
        <row r="2107">
          <cell r="L2107" t="str">
            <v>Gifts</v>
          </cell>
          <cell r="M2107">
            <v>-59.233333333333334</v>
          </cell>
        </row>
        <row r="2108">
          <cell r="L2108" t="str">
            <v>Doctor</v>
          </cell>
          <cell r="M2108">
            <v>-87.529166666666669</v>
          </cell>
        </row>
        <row r="2109">
          <cell r="L2109" t="str">
            <v>Associations</v>
          </cell>
          <cell r="M2109">
            <v>-63.012499999999996</v>
          </cell>
        </row>
        <row r="2110">
          <cell r="L2110" t="str">
            <v>Chemist</v>
          </cell>
          <cell r="M2110">
            <v>-88.095833333333346</v>
          </cell>
        </row>
        <row r="2111">
          <cell r="L2111" t="str">
            <v>Unknown</v>
          </cell>
          <cell r="M2111">
            <v>-1000</v>
          </cell>
        </row>
        <row r="2112">
          <cell r="L2112" t="str">
            <v>Wool</v>
          </cell>
          <cell r="M2112">
            <v>-13.47</v>
          </cell>
        </row>
        <row r="2113">
          <cell r="L2113" t="str">
            <v>Dont Account For</v>
          </cell>
          <cell r="M2113">
            <v>1000</v>
          </cell>
        </row>
        <row r="2114">
          <cell r="L2114" t="str">
            <v>Dont Account For</v>
          </cell>
          <cell r="M2114">
            <v>-50</v>
          </cell>
        </row>
        <row r="2115">
          <cell r="L2115" t="str">
            <v>Dont Account For</v>
          </cell>
          <cell r="M2115">
            <v>500</v>
          </cell>
        </row>
        <row r="2116">
          <cell r="L2116" t="str">
            <v>Dont Account For</v>
          </cell>
          <cell r="M2116">
            <v>700</v>
          </cell>
        </row>
        <row r="2117">
          <cell r="L2117" t="str">
            <v>Groceries</v>
          </cell>
          <cell r="M2117">
            <v>-50.95</v>
          </cell>
        </row>
        <row r="2118">
          <cell r="L2118" t="str">
            <v>Computer Hardware</v>
          </cell>
          <cell r="M2118">
            <v>-22.6</v>
          </cell>
        </row>
        <row r="2119">
          <cell r="L2119" t="str">
            <v>Eating Out</v>
          </cell>
          <cell r="M2119">
            <v>-21.404166666666665</v>
          </cell>
        </row>
        <row r="2120">
          <cell r="L2120" t="str">
            <v>Dont Account For</v>
          </cell>
          <cell r="M2120">
            <v>1000</v>
          </cell>
        </row>
        <row r="2121">
          <cell r="L2121" t="str">
            <v>Eating Out</v>
          </cell>
          <cell r="M2121">
            <v>-41.4</v>
          </cell>
        </row>
        <row r="2122">
          <cell r="L2122" t="str">
            <v>Petrol</v>
          </cell>
          <cell r="M2122">
            <v>-87.837500000000006</v>
          </cell>
        </row>
        <row r="2123">
          <cell r="L2123" t="str">
            <v>Eating Out</v>
          </cell>
          <cell r="M2123">
            <v>-36.395833333333336</v>
          </cell>
        </row>
        <row r="2124">
          <cell r="L2124" t="str">
            <v>Dont Account For</v>
          </cell>
          <cell r="M2124">
            <v>-2013.4916666666668</v>
          </cell>
        </row>
        <row r="2125">
          <cell r="L2125" t="str">
            <v>Department Store</v>
          </cell>
          <cell r="M2125">
            <v>-101.11666666666667</v>
          </cell>
        </row>
        <row r="2126">
          <cell r="L2126" t="str">
            <v>Regular Cost</v>
          </cell>
          <cell r="M2126">
            <v>-39.887500000000003</v>
          </cell>
        </row>
        <row r="2127">
          <cell r="L2127" t="str">
            <v>Groceries</v>
          </cell>
          <cell r="M2127">
            <v>-65.025000000000006</v>
          </cell>
        </row>
        <row r="2128">
          <cell r="L2128" t="str">
            <v>Unknown</v>
          </cell>
          <cell r="M2128">
            <v>-324.1875</v>
          </cell>
        </row>
        <row r="2129">
          <cell r="L2129" t="str">
            <v>Eating Out</v>
          </cell>
          <cell r="M2129">
            <v>-17.729166666666668</v>
          </cell>
        </row>
        <row r="2130">
          <cell r="L2130" t="str">
            <v>Eating Out</v>
          </cell>
          <cell r="M2130">
            <v>-203.62916666666666</v>
          </cell>
        </row>
        <row r="2131">
          <cell r="L2131" t="str">
            <v>Autumn WaterSewage</v>
          </cell>
          <cell r="M2131">
            <v>-145.3125</v>
          </cell>
        </row>
        <row r="2132">
          <cell r="L2132" t="str">
            <v>Petrol</v>
          </cell>
          <cell r="M2132">
            <v>-26.591666666666669</v>
          </cell>
        </row>
        <row r="2133">
          <cell r="L2133" t="str">
            <v>Unknown</v>
          </cell>
          <cell r="M2133">
            <v>-61.733333333333334</v>
          </cell>
        </row>
        <row r="2134">
          <cell r="L2134" t="str">
            <v>Dont Account For</v>
          </cell>
          <cell r="M2134">
            <v>-240.11250000000001</v>
          </cell>
        </row>
        <row r="2135">
          <cell r="L2135" t="str">
            <v>Doctor</v>
          </cell>
          <cell r="M2135">
            <v>-61.979166666666671</v>
          </cell>
        </row>
        <row r="2136">
          <cell r="L2136" t="str">
            <v>Groceries</v>
          </cell>
          <cell r="M2136">
            <v>-38.262500000000003</v>
          </cell>
        </row>
        <row r="2137">
          <cell r="L2137" t="str">
            <v>Minerva Rent</v>
          </cell>
          <cell r="M2137">
            <v>0</v>
          </cell>
        </row>
        <row r="2138">
          <cell r="L2138" t="str">
            <v>Minerva Rent</v>
          </cell>
          <cell r="M2138">
            <v>2794.12</v>
          </cell>
        </row>
        <row r="2139">
          <cell r="L2139" t="str">
            <v>Minerva Agent</v>
          </cell>
          <cell r="M2139">
            <v>-238.62</v>
          </cell>
        </row>
        <row r="2140">
          <cell r="L2140" t="str">
            <v>Activities</v>
          </cell>
          <cell r="M2140">
            <v>-450</v>
          </cell>
        </row>
        <row r="2141">
          <cell r="L2141" t="str">
            <v>Medicare Refund</v>
          </cell>
          <cell r="M2141">
            <v>36.9</v>
          </cell>
        </row>
        <row r="2142">
          <cell r="L2142" t="str">
            <v>Dont Account For</v>
          </cell>
          <cell r="M2142">
            <v>1500</v>
          </cell>
        </row>
        <row r="2143">
          <cell r="L2143" t="str">
            <v>School Books</v>
          </cell>
          <cell r="M2143">
            <v>-124.05833333333334</v>
          </cell>
        </row>
        <row r="2144">
          <cell r="L2144" t="str">
            <v>Groceries</v>
          </cell>
          <cell r="M2144">
            <v>-111.14583333333334</v>
          </cell>
        </row>
        <row r="2145">
          <cell r="L2145" t="str">
            <v>Unknown</v>
          </cell>
          <cell r="M2145">
            <v>-109.68333333333334</v>
          </cell>
        </row>
        <row r="2146">
          <cell r="L2146" t="str">
            <v>Unknown</v>
          </cell>
          <cell r="M2146">
            <v>-52.320833333333333</v>
          </cell>
        </row>
        <row r="2147">
          <cell r="L2147" t="str">
            <v>Regular Cost</v>
          </cell>
          <cell r="M2147">
            <v>-122.73333333333333</v>
          </cell>
        </row>
        <row r="2148">
          <cell r="L2148" t="str">
            <v>Cinema</v>
          </cell>
          <cell r="M2148">
            <v>-20.845833333333335</v>
          </cell>
        </row>
        <row r="2149">
          <cell r="L2149" t="str">
            <v>Eating Out</v>
          </cell>
          <cell r="M2149">
            <v>-50.429166666666667</v>
          </cell>
        </row>
        <row r="2150">
          <cell r="L2150" t="str">
            <v>Department Store</v>
          </cell>
          <cell r="M2150">
            <v>-42.158333333333339</v>
          </cell>
        </row>
        <row r="2151">
          <cell r="L2151" t="str">
            <v>Unknown</v>
          </cell>
          <cell r="M2151">
            <v>-1500</v>
          </cell>
        </row>
        <row r="2152">
          <cell r="L2152" t="str">
            <v>Dont Account For</v>
          </cell>
          <cell r="M2152">
            <v>-100</v>
          </cell>
        </row>
        <row r="2153">
          <cell r="L2153" t="str">
            <v>Bank Charges</v>
          </cell>
          <cell r="M2153">
            <v>-1.5</v>
          </cell>
        </row>
        <row r="2154">
          <cell r="L2154" t="str">
            <v>Eating Out</v>
          </cell>
          <cell r="M2154">
            <v>-15.408333333333333</v>
          </cell>
        </row>
        <row r="2155">
          <cell r="L2155" t="str">
            <v>Bank Charges</v>
          </cell>
          <cell r="M2155">
            <v>-16.2</v>
          </cell>
        </row>
        <row r="2156">
          <cell r="L2156" t="str">
            <v>Dont Account For</v>
          </cell>
          <cell r="M2156">
            <v>0.42</v>
          </cell>
        </row>
        <row r="2157">
          <cell r="L2157" t="str">
            <v>Groceries</v>
          </cell>
          <cell r="M2157">
            <v>-65</v>
          </cell>
        </row>
        <row r="2158">
          <cell r="L2158" t="str">
            <v>Eating Out</v>
          </cell>
          <cell r="M2158">
            <v>-58.737500000000004</v>
          </cell>
        </row>
        <row r="2159">
          <cell r="L2159" t="str">
            <v>Dont Account For</v>
          </cell>
          <cell r="M2159">
            <v>916.66666666666674</v>
          </cell>
        </row>
        <row r="2160">
          <cell r="L2160" t="str">
            <v>Bank Charges</v>
          </cell>
          <cell r="M2160">
            <v>-7</v>
          </cell>
        </row>
        <row r="2161">
          <cell r="L2161" t="str">
            <v>Regular Cost</v>
          </cell>
          <cell r="M2161">
            <v>-172.37</v>
          </cell>
        </row>
        <row r="2162">
          <cell r="L2162" t="str">
            <v>Bank Charges</v>
          </cell>
          <cell r="M2162">
            <v>-5</v>
          </cell>
        </row>
        <row r="2163">
          <cell r="L2163" t="str">
            <v>Dont Account For</v>
          </cell>
          <cell r="M2163">
            <v>181.66666666666669</v>
          </cell>
        </row>
        <row r="2164">
          <cell r="L2164" t="str">
            <v>Groceries</v>
          </cell>
          <cell r="M2164">
            <v>-28.483333333333334</v>
          </cell>
        </row>
        <row r="2165">
          <cell r="L2165" t="str">
            <v>Regular Cost</v>
          </cell>
          <cell r="M2165">
            <v>-113.85000000000001</v>
          </cell>
        </row>
        <row r="2166">
          <cell r="L2166" t="str">
            <v>Cinema</v>
          </cell>
          <cell r="M2166">
            <v>-26.579166666666666</v>
          </cell>
        </row>
        <row r="2167">
          <cell r="L2167" t="str">
            <v>Cinema</v>
          </cell>
          <cell r="M2167">
            <v>-67.087500000000006</v>
          </cell>
        </row>
        <row r="2168">
          <cell r="L2168" t="str">
            <v>Gifts</v>
          </cell>
          <cell r="M2168">
            <v>-86.079166666666666</v>
          </cell>
        </row>
        <row r="2169">
          <cell r="L2169" t="str">
            <v>Gifts</v>
          </cell>
          <cell r="M2169">
            <v>-40.508333333333333</v>
          </cell>
        </row>
        <row r="2170">
          <cell r="L2170" t="str">
            <v>Regular Cost</v>
          </cell>
          <cell r="M2170">
            <v>-100</v>
          </cell>
        </row>
        <row r="2171">
          <cell r="L2171" t="str">
            <v>Unknown</v>
          </cell>
          <cell r="M2171">
            <v>-9</v>
          </cell>
        </row>
        <row r="2172">
          <cell r="L2172" t="str">
            <v>Household Items</v>
          </cell>
          <cell r="M2172">
            <v>-12</v>
          </cell>
        </row>
        <row r="2173">
          <cell r="L2173" t="str">
            <v>Eating Out</v>
          </cell>
          <cell r="M2173">
            <v>-16.645833333333336</v>
          </cell>
        </row>
        <row r="2174">
          <cell r="L2174" t="str">
            <v>Dont Account For</v>
          </cell>
          <cell r="M2174">
            <v>-26.487500000000001</v>
          </cell>
        </row>
        <row r="2175">
          <cell r="L2175" t="str">
            <v>Groceries</v>
          </cell>
          <cell r="M2175">
            <v>-114</v>
          </cell>
        </row>
        <row r="2176">
          <cell r="L2176" t="str">
            <v>Unknown</v>
          </cell>
          <cell r="M2176">
            <v>-50</v>
          </cell>
        </row>
        <row r="2177">
          <cell r="L2177" t="str">
            <v>Bank Charges</v>
          </cell>
          <cell r="M2177">
            <v>-1.5</v>
          </cell>
        </row>
        <row r="2178">
          <cell r="L2178" t="str">
            <v>Computer Hardware</v>
          </cell>
          <cell r="M2178">
            <v>-25.170833333333334</v>
          </cell>
        </row>
        <row r="2179">
          <cell r="L2179" t="str">
            <v>Books, Videos, Magazines</v>
          </cell>
          <cell r="M2179">
            <v>-66.86666666666666</v>
          </cell>
        </row>
        <row r="2180">
          <cell r="L2180" t="str">
            <v>Unknown</v>
          </cell>
          <cell r="M2180">
            <v>-30.845833333333335</v>
          </cell>
        </row>
        <row r="2181">
          <cell r="L2181" t="str">
            <v>Groceries</v>
          </cell>
          <cell r="M2181">
            <v>-29.012499999999999</v>
          </cell>
        </row>
        <row r="2182">
          <cell r="L2182" t="str">
            <v>Chemist</v>
          </cell>
          <cell r="M2182">
            <v>-17.774999999999999</v>
          </cell>
        </row>
        <row r="2183">
          <cell r="L2183" t="str">
            <v>Department Store</v>
          </cell>
          <cell r="M2183">
            <v>-21.483333333333334</v>
          </cell>
        </row>
        <row r="2184">
          <cell r="L2184" t="str">
            <v>Dont Account For</v>
          </cell>
          <cell r="M2184">
            <v>41.666666666666671</v>
          </cell>
        </row>
        <row r="2185">
          <cell r="L2185" t="str">
            <v>Medicare Refund</v>
          </cell>
          <cell r="M2185">
            <v>32.1</v>
          </cell>
        </row>
        <row r="2186">
          <cell r="L2186" t="str">
            <v>Dont Account For</v>
          </cell>
          <cell r="M2186">
            <v>-107.52</v>
          </cell>
        </row>
        <row r="2187">
          <cell r="L2187" t="str">
            <v>Dont Account For</v>
          </cell>
          <cell r="M2187">
            <v>107.52</v>
          </cell>
        </row>
        <row r="2188">
          <cell r="L2188" t="str">
            <v>Department Store</v>
          </cell>
          <cell r="M2188">
            <v>-47.604166666666671</v>
          </cell>
        </row>
        <row r="2189">
          <cell r="L2189" t="str">
            <v>Department Store</v>
          </cell>
          <cell r="M2189">
            <v>-47.604166666666671</v>
          </cell>
        </row>
        <row r="2190">
          <cell r="L2190" t="str">
            <v>Dont Account For</v>
          </cell>
          <cell r="M2190">
            <v>60.708333333333329</v>
          </cell>
        </row>
        <row r="2191">
          <cell r="L2191" t="str">
            <v>Eating Out</v>
          </cell>
          <cell r="M2191">
            <v>-41.345833333333339</v>
          </cell>
        </row>
        <row r="2192">
          <cell r="L2192" t="str">
            <v>Eating Out</v>
          </cell>
          <cell r="M2192">
            <v>-59.158333333333331</v>
          </cell>
        </row>
        <row r="2193">
          <cell r="L2193" t="str">
            <v>Eating Out</v>
          </cell>
          <cell r="M2193">
            <v>-129.25416666666666</v>
          </cell>
        </row>
        <row r="2194">
          <cell r="L2194" t="str">
            <v>Dont Account For</v>
          </cell>
          <cell r="M2194">
            <v>-73.087500000000006</v>
          </cell>
        </row>
        <row r="2195">
          <cell r="L2195" t="str">
            <v>Dont Account For</v>
          </cell>
          <cell r="M2195">
            <v>41.666666666666671</v>
          </cell>
        </row>
        <row r="2196">
          <cell r="L2196" t="str">
            <v>Dont Account For</v>
          </cell>
          <cell r="M2196">
            <v>41.666666666666671</v>
          </cell>
        </row>
        <row r="2197">
          <cell r="L2197" t="str">
            <v>Dont Account For</v>
          </cell>
          <cell r="M2197">
            <v>41.666666666666671</v>
          </cell>
        </row>
        <row r="2198">
          <cell r="L2198" t="str">
            <v>Dont Account For</v>
          </cell>
          <cell r="M2198">
            <v>41.666666666666671</v>
          </cell>
        </row>
        <row r="2199">
          <cell r="L2199" t="str">
            <v>Dont Account For</v>
          </cell>
          <cell r="M2199">
            <v>41.666666666666671</v>
          </cell>
        </row>
        <row r="2200">
          <cell r="L2200" t="str">
            <v>Dont Account For</v>
          </cell>
          <cell r="M2200">
            <v>41.666666666666671</v>
          </cell>
        </row>
        <row r="2201">
          <cell r="L2201" t="str">
            <v>Dont Account For</v>
          </cell>
          <cell r="M2201">
            <v>41.666666666666671</v>
          </cell>
        </row>
        <row r="2202">
          <cell r="L2202" t="str">
            <v>Dont Account For</v>
          </cell>
          <cell r="M2202">
            <v>41.666666666666671</v>
          </cell>
        </row>
        <row r="2203">
          <cell r="L2203" t="str">
            <v>Dont Account For</v>
          </cell>
          <cell r="M2203">
            <v>41.666666666666671</v>
          </cell>
        </row>
        <row r="2204">
          <cell r="L2204" t="str">
            <v>Dont Account For</v>
          </cell>
          <cell r="M2204">
            <v>41.666666666666671</v>
          </cell>
        </row>
        <row r="2205">
          <cell r="L2205" t="str">
            <v>Dont Account For</v>
          </cell>
          <cell r="M2205">
            <v>41.666666666666671</v>
          </cell>
        </row>
        <row r="2206">
          <cell r="L2206" t="str">
            <v>Dont Account For</v>
          </cell>
          <cell r="M2206">
            <v>41.666666666666671</v>
          </cell>
        </row>
        <row r="2207">
          <cell r="L2207" t="str">
            <v>Dont Account For</v>
          </cell>
          <cell r="M2207">
            <v>41.666666666666671</v>
          </cell>
        </row>
        <row r="2208">
          <cell r="L2208" t="str">
            <v>Dont Account For</v>
          </cell>
          <cell r="M2208">
            <v>41.666666666666671</v>
          </cell>
        </row>
        <row r="2209">
          <cell r="L2209" t="str">
            <v>Dont Account For</v>
          </cell>
          <cell r="M2209">
            <v>41.666666666666671</v>
          </cell>
        </row>
        <row r="2210">
          <cell r="L2210" t="str">
            <v>Holiday</v>
          </cell>
          <cell r="M2210">
            <v>-15.700000000000001</v>
          </cell>
        </row>
        <row r="2211">
          <cell r="L2211" t="str">
            <v>Holiday</v>
          </cell>
          <cell r="M2211">
            <v>-37.929166666666667</v>
          </cell>
        </row>
        <row r="2212">
          <cell r="L2212" t="str">
            <v>Holiday</v>
          </cell>
          <cell r="M2212">
            <v>-55.629166666666663</v>
          </cell>
        </row>
        <row r="2213">
          <cell r="L2213" t="str">
            <v>Holiday</v>
          </cell>
          <cell r="M2213">
            <v>-279.125</v>
          </cell>
        </row>
        <row r="2214">
          <cell r="L2214" t="str">
            <v>Dont Account For</v>
          </cell>
          <cell r="M2214">
            <v>12500</v>
          </cell>
        </row>
        <row r="2215">
          <cell r="L2215" t="str">
            <v>Doctor</v>
          </cell>
          <cell r="M2215">
            <v>-70.308333333333337</v>
          </cell>
        </row>
        <row r="2216">
          <cell r="L2216" t="str">
            <v>Groceries</v>
          </cell>
          <cell r="M2216">
            <v>-192.28750000000002</v>
          </cell>
        </row>
        <row r="2217">
          <cell r="L2217" t="str">
            <v>Groceries</v>
          </cell>
          <cell r="M2217">
            <v>-170.23750000000001</v>
          </cell>
        </row>
        <row r="2218">
          <cell r="L2218" t="str">
            <v>Books, Videos, Magazines</v>
          </cell>
          <cell r="M2218">
            <v>-68.516666666666666</v>
          </cell>
        </row>
        <row r="2219">
          <cell r="L2219" t="str">
            <v>Books, Videos, Magazines</v>
          </cell>
          <cell r="M2219">
            <v>-108.65833333333333</v>
          </cell>
        </row>
        <row r="2220">
          <cell r="L2220" t="str">
            <v>Cinema</v>
          </cell>
          <cell r="M2220">
            <v>-10.866666666666667</v>
          </cell>
        </row>
        <row r="2221">
          <cell r="L2221" t="str">
            <v>Groceries</v>
          </cell>
          <cell r="M2221">
            <v>-130.45416666666665</v>
          </cell>
        </row>
        <row r="2222">
          <cell r="L2222" t="str">
            <v>Department Store</v>
          </cell>
          <cell r="M2222">
            <v>-81.904166666666669</v>
          </cell>
        </row>
        <row r="2223">
          <cell r="L2223" t="str">
            <v>Regular Cost</v>
          </cell>
          <cell r="M2223">
            <v>-171.88749999999999</v>
          </cell>
        </row>
        <row r="2224">
          <cell r="L2224" t="str">
            <v>Petrol</v>
          </cell>
          <cell r="M2224">
            <v>-90.987500000000011</v>
          </cell>
        </row>
        <row r="2225">
          <cell r="L2225" t="str">
            <v>Books, Videos, Magazines</v>
          </cell>
          <cell r="M2225">
            <v>-74.150000000000006</v>
          </cell>
        </row>
        <row r="2226">
          <cell r="L2226" t="str">
            <v>Dont Account For</v>
          </cell>
          <cell r="M2226">
            <v>12500</v>
          </cell>
        </row>
        <row r="2227">
          <cell r="L2227" t="str">
            <v>Dont Account For</v>
          </cell>
          <cell r="M2227">
            <v>-1291.6666666666667</v>
          </cell>
        </row>
        <row r="2228">
          <cell r="L2228" t="str">
            <v>Dont Account For</v>
          </cell>
          <cell r="M2228">
            <v>1291.6666666666667</v>
          </cell>
        </row>
        <row r="2229">
          <cell r="L2229" t="str">
            <v>Groceries</v>
          </cell>
          <cell r="M2229">
            <v>-12.2</v>
          </cell>
        </row>
        <row r="2230">
          <cell r="L2230" t="str">
            <v>Regular Cost</v>
          </cell>
          <cell r="M2230">
            <v>-167.95</v>
          </cell>
        </row>
        <row r="2231">
          <cell r="L2231" t="str">
            <v>Dont Account For</v>
          </cell>
          <cell r="M2231">
            <v>-53.458333333333343</v>
          </cell>
        </row>
        <row r="2232">
          <cell r="L2232" t="str">
            <v>Dont Account For</v>
          </cell>
          <cell r="M2232">
            <v>41.666666666666671</v>
          </cell>
        </row>
        <row r="2233">
          <cell r="L2233" t="str">
            <v>Dont Account For</v>
          </cell>
          <cell r="M2233">
            <v>41.666666666666671</v>
          </cell>
        </row>
        <row r="2234">
          <cell r="L2234" t="str">
            <v>Dont Account For</v>
          </cell>
          <cell r="M2234">
            <v>-45.833333333333336</v>
          </cell>
        </row>
        <row r="2235">
          <cell r="L2235" t="str">
            <v>Eating Out</v>
          </cell>
          <cell r="M2235">
            <v>-54.166666666666671</v>
          </cell>
        </row>
        <row r="2236">
          <cell r="L2236" t="str">
            <v>Eating Out</v>
          </cell>
          <cell r="M2236">
            <v>-10.5</v>
          </cell>
        </row>
        <row r="2237">
          <cell r="L2237" t="str">
            <v>Household Items</v>
          </cell>
          <cell r="M2237">
            <v>-12.5</v>
          </cell>
        </row>
        <row r="2238">
          <cell r="L2238" t="str">
            <v>Dont Account For</v>
          </cell>
          <cell r="M2238">
            <v>6250</v>
          </cell>
        </row>
        <row r="2239">
          <cell r="L2239" t="str">
            <v>Dont Account For</v>
          </cell>
          <cell r="M2239">
            <v>3750</v>
          </cell>
        </row>
        <row r="2240">
          <cell r="L2240" t="str">
            <v>Regular Cost</v>
          </cell>
          <cell r="M2240">
            <v>-33.187500000000007</v>
          </cell>
        </row>
        <row r="2241">
          <cell r="L2241" t="str">
            <v>Unknown</v>
          </cell>
          <cell r="M2241">
            <v>-21.6875</v>
          </cell>
        </row>
        <row r="2242">
          <cell r="L2242" t="str">
            <v>Household Items</v>
          </cell>
          <cell r="M2242">
            <v>-39.887500000000003</v>
          </cell>
        </row>
        <row r="2243">
          <cell r="L2243" t="str">
            <v>Groceries</v>
          </cell>
          <cell r="M2243">
            <v>-162.49583333333334</v>
          </cell>
        </row>
        <row r="2244">
          <cell r="L2244" t="str">
            <v>Chemist</v>
          </cell>
          <cell r="M2244">
            <v>-55.44166666666667</v>
          </cell>
        </row>
        <row r="2245">
          <cell r="L2245" t="str">
            <v>Groceries</v>
          </cell>
          <cell r="M2245">
            <v>-120.30833333333334</v>
          </cell>
        </row>
        <row r="2246">
          <cell r="L2246" t="str">
            <v>Holiday</v>
          </cell>
          <cell r="M2246">
            <v>-83.854166666666671</v>
          </cell>
        </row>
        <row r="2247">
          <cell r="L2247" t="str">
            <v>VOIP</v>
          </cell>
          <cell r="M2247">
            <v>-39.616666666666667</v>
          </cell>
        </row>
        <row r="2248">
          <cell r="L2248" t="str">
            <v>Dont Account For</v>
          </cell>
          <cell r="M2248">
            <v>-34.166666666666671</v>
          </cell>
        </row>
        <row r="2249">
          <cell r="L2249" t="str">
            <v>Dont Account For</v>
          </cell>
          <cell r="M2249">
            <v>41.666666666666671</v>
          </cell>
        </row>
        <row r="2250">
          <cell r="L2250" t="str">
            <v>Dont Account For</v>
          </cell>
          <cell r="M2250">
            <v>41.666666666666671</v>
          </cell>
        </row>
        <row r="2251">
          <cell r="L2251" t="str">
            <v>Dont Account For</v>
          </cell>
          <cell r="M2251">
            <v>41.666666666666671</v>
          </cell>
        </row>
        <row r="2252">
          <cell r="L2252" t="str">
            <v>Dont Account For</v>
          </cell>
          <cell r="M2252">
            <v>41.666666666666671</v>
          </cell>
        </row>
        <row r="2253">
          <cell r="L2253" t="str">
            <v>Dont Account For</v>
          </cell>
          <cell r="M2253">
            <v>41.666666666666671</v>
          </cell>
        </row>
        <row r="2254">
          <cell r="L2254" t="str">
            <v>Dont Account For</v>
          </cell>
          <cell r="M2254">
            <v>41.666666666666671</v>
          </cell>
        </row>
        <row r="2255">
          <cell r="L2255" t="str">
            <v>Stationary</v>
          </cell>
          <cell r="M2255">
            <v>-14.133333333333335</v>
          </cell>
        </row>
        <row r="2256">
          <cell r="L2256" t="str">
            <v>Unknown</v>
          </cell>
          <cell r="M2256">
            <v>-75.016666666666666</v>
          </cell>
        </row>
        <row r="2257">
          <cell r="L2257" t="str">
            <v>Books, Videos, Magazines</v>
          </cell>
          <cell r="M2257">
            <v>-120.12083333333335</v>
          </cell>
        </row>
        <row r="2258">
          <cell r="L2258" t="str">
            <v>Eating Out</v>
          </cell>
          <cell r="M2258">
            <v>-29.770833333333336</v>
          </cell>
        </row>
        <row r="2259">
          <cell r="L2259" t="str">
            <v>Dont Account For</v>
          </cell>
          <cell r="M2259">
            <v>41.666666666666671</v>
          </cell>
        </row>
        <row r="2260">
          <cell r="L2260" t="str">
            <v>Unknown</v>
          </cell>
          <cell r="M2260">
            <v>-39.012500000000003</v>
          </cell>
        </row>
        <row r="2261">
          <cell r="L2261" t="str">
            <v>Chemist</v>
          </cell>
          <cell r="M2261">
            <v>-23.445833333333336</v>
          </cell>
        </row>
        <row r="2262">
          <cell r="L2262" t="str">
            <v>Wool</v>
          </cell>
          <cell r="M2262">
            <v>-21.425000000000001</v>
          </cell>
        </row>
        <row r="2263">
          <cell r="L2263" t="str">
            <v>Books, Videos, Magazines</v>
          </cell>
          <cell r="M2263">
            <v>-48.06666666666667</v>
          </cell>
        </row>
        <row r="2264">
          <cell r="L2264" t="str">
            <v>Groceries</v>
          </cell>
          <cell r="M2264">
            <v>-49.458333333333336</v>
          </cell>
        </row>
        <row r="2265">
          <cell r="L2265" t="str">
            <v>Department Store</v>
          </cell>
          <cell r="M2265">
            <v>-130.22916666666669</v>
          </cell>
        </row>
        <row r="2266">
          <cell r="L2266" t="str">
            <v>Eating Out</v>
          </cell>
          <cell r="M2266">
            <v>-156.95833333333334</v>
          </cell>
        </row>
        <row r="2267">
          <cell r="L2267" t="str">
            <v>Department Store</v>
          </cell>
          <cell r="M2267">
            <v>-168.00416666666666</v>
          </cell>
        </row>
        <row r="2268">
          <cell r="L2268" t="str">
            <v>Eating Out</v>
          </cell>
          <cell r="M2268">
            <v>-16.383333333333333</v>
          </cell>
        </row>
        <row r="2269">
          <cell r="L2269" t="str">
            <v>Dont Account For</v>
          </cell>
          <cell r="M2269">
            <v>-20.875</v>
          </cell>
        </row>
        <row r="2270">
          <cell r="L2270" t="str">
            <v>Dont Account For</v>
          </cell>
          <cell r="M2270">
            <v>-190</v>
          </cell>
        </row>
        <row r="2271">
          <cell r="L2271" t="str">
            <v>Eating Out</v>
          </cell>
          <cell r="M2271">
            <v>-97.712500000000006</v>
          </cell>
        </row>
        <row r="2272">
          <cell r="L2272" t="str">
            <v>Eating Out</v>
          </cell>
          <cell r="M2272">
            <v>-104.22499999999999</v>
          </cell>
        </row>
        <row r="2273">
          <cell r="L2273" t="str">
            <v>Groceries</v>
          </cell>
          <cell r="M2273">
            <v>-39.345833333333339</v>
          </cell>
        </row>
        <row r="2274">
          <cell r="L2274" t="str">
            <v>Unknown</v>
          </cell>
          <cell r="M2274">
            <v>-72.69583333333334</v>
          </cell>
        </row>
        <row r="2275">
          <cell r="L2275" t="str">
            <v>Unknown</v>
          </cell>
          <cell r="M2275">
            <v>-47.87916666666667</v>
          </cell>
        </row>
        <row r="2276">
          <cell r="L2276" t="str">
            <v>Minerva Agent</v>
          </cell>
          <cell r="M2276">
            <v>-108.56250000000001</v>
          </cell>
        </row>
        <row r="2277">
          <cell r="L2277" t="str">
            <v>Regular Cost</v>
          </cell>
          <cell r="M2277">
            <v>-41.354166666666671</v>
          </cell>
        </row>
        <row r="2278">
          <cell r="L2278" t="str">
            <v>Eating Out</v>
          </cell>
          <cell r="M2278">
            <v>-36.31666666666667</v>
          </cell>
        </row>
        <row r="2279">
          <cell r="L2279" t="str">
            <v>Unknown</v>
          </cell>
          <cell r="M2279">
            <v>-1000</v>
          </cell>
        </row>
        <row r="2280">
          <cell r="L2280" t="str">
            <v>Dont Account For</v>
          </cell>
          <cell r="M2280">
            <v>1000</v>
          </cell>
        </row>
        <row r="2281">
          <cell r="L2281" t="str">
            <v>Eating Out</v>
          </cell>
          <cell r="M2281">
            <v>-30.241666666666667</v>
          </cell>
        </row>
        <row r="2282">
          <cell r="L2282" t="str">
            <v>Uniforms</v>
          </cell>
          <cell r="M2282">
            <v>-137.45416666666668</v>
          </cell>
        </row>
        <row r="2283">
          <cell r="L2283" t="str">
            <v>Dont Account For</v>
          </cell>
          <cell r="M2283">
            <v>50.012500000000003</v>
          </cell>
        </row>
        <row r="2284">
          <cell r="L2284" t="str">
            <v>Dont Account For</v>
          </cell>
          <cell r="M2284">
            <v>-1309.1000000000001</v>
          </cell>
        </row>
        <row r="2285">
          <cell r="L2285" t="str">
            <v>Dont Account For</v>
          </cell>
          <cell r="M2285">
            <v>-59.054166666666667</v>
          </cell>
        </row>
        <row r="2286">
          <cell r="L2286" t="str">
            <v>Unknown</v>
          </cell>
          <cell r="M2286">
            <v>-15.500000000000002</v>
          </cell>
        </row>
        <row r="2287">
          <cell r="L2287" t="str">
            <v>Groceries</v>
          </cell>
          <cell r="M2287">
            <v>-38.5625</v>
          </cell>
        </row>
        <row r="2288">
          <cell r="L2288" t="str">
            <v>Dont Account For</v>
          </cell>
          <cell r="M2288">
            <v>-42.641666666666673</v>
          </cell>
        </row>
        <row r="2289">
          <cell r="L2289" t="str">
            <v>Groceries</v>
          </cell>
          <cell r="M2289">
            <v>-86.129166666666677</v>
          </cell>
        </row>
        <row r="2290">
          <cell r="L2290" t="str">
            <v>Petrol</v>
          </cell>
          <cell r="M2290">
            <v>-96.870833333333337</v>
          </cell>
        </row>
        <row r="2291">
          <cell r="L2291" t="str">
            <v>Unknown</v>
          </cell>
          <cell r="M2291">
            <v>-300</v>
          </cell>
        </row>
        <row r="2292">
          <cell r="L2292" t="str">
            <v>Household Items</v>
          </cell>
          <cell r="M2292">
            <v>-609.87083333333339</v>
          </cell>
        </row>
        <row r="2293">
          <cell r="L2293" t="str">
            <v>Household Items</v>
          </cell>
          <cell r="M2293">
            <v>-29.016666666666669</v>
          </cell>
        </row>
        <row r="2294">
          <cell r="L2294" t="str">
            <v>Optus Mobile</v>
          </cell>
          <cell r="M2294">
            <v>-103.9375</v>
          </cell>
        </row>
        <row r="2295">
          <cell r="L2295" t="str">
            <v>Optus Home Phone</v>
          </cell>
          <cell r="M2295">
            <v>-99.454166666666666</v>
          </cell>
        </row>
        <row r="2296">
          <cell r="L2296" t="str">
            <v>Groceries</v>
          </cell>
          <cell r="M2296">
            <v>-136.9375</v>
          </cell>
        </row>
        <row r="2297">
          <cell r="L2297" t="str">
            <v>Unknown</v>
          </cell>
          <cell r="M2297">
            <v>-43.86</v>
          </cell>
        </row>
        <row r="2298">
          <cell r="L2298" t="str">
            <v>Household Items</v>
          </cell>
          <cell r="M2298">
            <v>-10</v>
          </cell>
        </row>
        <row r="2299">
          <cell r="L2299" t="str">
            <v>Dont Account For</v>
          </cell>
          <cell r="M2299">
            <v>-20.833333333333336</v>
          </cell>
        </row>
        <row r="2300">
          <cell r="L2300" t="str">
            <v>Dont Account For</v>
          </cell>
          <cell r="M2300">
            <v>-14.583333333333334</v>
          </cell>
        </row>
        <row r="2301">
          <cell r="L2301" t="str">
            <v>Regular Cost</v>
          </cell>
          <cell r="M2301">
            <v>-353.39166666666665</v>
          </cell>
        </row>
        <row r="2302">
          <cell r="L2302" t="str">
            <v>Dont Account For</v>
          </cell>
          <cell r="M2302">
            <v>-45</v>
          </cell>
        </row>
        <row r="2303">
          <cell r="L2303" t="str">
            <v>Associations</v>
          </cell>
          <cell r="M2303">
            <v>-261.77083333333337</v>
          </cell>
        </row>
        <row r="2304">
          <cell r="L2304" t="str">
            <v>Eating Out</v>
          </cell>
          <cell r="M2304">
            <v>-61.095833333333331</v>
          </cell>
        </row>
        <row r="2305">
          <cell r="L2305" t="str">
            <v>Regular Cost</v>
          </cell>
          <cell r="M2305">
            <v>-4153.8583333333336</v>
          </cell>
        </row>
        <row r="2306">
          <cell r="L2306" t="str">
            <v>Cinema</v>
          </cell>
          <cell r="M2306">
            <v>-46.895833333333336</v>
          </cell>
        </row>
        <row r="2307">
          <cell r="L2307" t="str">
            <v>Eating Out</v>
          </cell>
          <cell r="M2307">
            <v>-18.887499999999999</v>
          </cell>
        </row>
        <row r="2308">
          <cell r="L2308" t="str">
            <v>Books, Videos, Magazines</v>
          </cell>
          <cell r="M2308">
            <v>-46.512500000000003</v>
          </cell>
        </row>
        <row r="2309">
          <cell r="L2309" t="str">
            <v>Chemist</v>
          </cell>
          <cell r="M2309">
            <v>-15.458333333333334</v>
          </cell>
        </row>
        <row r="2310">
          <cell r="L2310" t="str">
            <v>Eating Out</v>
          </cell>
          <cell r="M2310">
            <v>-49.366666666666667</v>
          </cell>
        </row>
        <row r="2311">
          <cell r="L2311" t="str">
            <v>Eating Out</v>
          </cell>
          <cell r="M2311">
            <v>-33.091666666666669</v>
          </cell>
        </row>
        <row r="2312">
          <cell r="L2312" t="str">
            <v>Groceries</v>
          </cell>
          <cell r="M2312">
            <v>-23.762500000000003</v>
          </cell>
        </row>
        <row r="2313">
          <cell r="L2313" t="str">
            <v>Dont Account For</v>
          </cell>
          <cell r="M2313">
            <v>-100</v>
          </cell>
        </row>
        <row r="2314">
          <cell r="L2314" t="str">
            <v>Dont Account For</v>
          </cell>
          <cell r="M2314">
            <v>-100</v>
          </cell>
        </row>
        <row r="2315">
          <cell r="L2315" t="str">
            <v>Unknown</v>
          </cell>
          <cell r="M2315">
            <v>-400</v>
          </cell>
        </row>
        <row r="2316">
          <cell r="L2316" t="str">
            <v>Groceries</v>
          </cell>
          <cell r="M2316">
            <v>-146.27083333333334</v>
          </cell>
        </row>
        <row r="2317">
          <cell r="L2317" t="str">
            <v>Regular Cost</v>
          </cell>
          <cell r="M2317">
            <v>-8633.1833333333343</v>
          </cell>
        </row>
        <row r="2318">
          <cell r="L2318" t="str">
            <v>Eating Out</v>
          </cell>
          <cell r="M2318">
            <v>-44.637500000000003</v>
          </cell>
        </row>
        <row r="2319">
          <cell r="L2319" t="str">
            <v>Petrol</v>
          </cell>
          <cell r="M2319">
            <v>-91.862499999999997</v>
          </cell>
        </row>
        <row r="2320">
          <cell r="L2320" t="str">
            <v>Unknown</v>
          </cell>
          <cell r="M2320">
            <v>-61.25</v>
          </cell>
        </row>
        <row r="2321">
          <cell r="L2321" t="str">
            <v>Groceries</v>
          </cell>
          <cell r="M2321">
            <v>-117.18333333333334</v>
          </cell>
        </row>
        <row r="2322">
          <cell r="L2322" t="str">
            <v>Dont Account For</v>
          </cell>
          <cell r="M2322">
            <v>-168.49</v>
          </cell>
        </row>
        <row r="2323">
          <cell r="L2323" t="str">
            <v>Eating Out</v>
          </cell>
          <cell r="M2323">
            <v>-48.420833333333334</v>
          </cell>
        </row>
        <row r="2324">
          <cell r="L2324" t="str">
            <v>Doctor</v>
          </cell>
          <cell r="M2324">
            <v>-469.71249999999998</v>
          </cell>
        </row>
        <row r="2325">
          <cell r="L2325" t="str">
            <v>Unknown</v>
          </cell>
          <cell r="M2325">
            <v>-22.987500000000001</v>
          </cell>
        </row>
        <row r="2326">
          <cell r="L2326" t="str">
            <v>Regular Cost</v>
          </cell>
          <cell r="M2326">
            <v>-1836.4875</v>
          </cell>
        </row>
        <row r="2327">
          <cell r="L2327" t="str">
            <v>Groceries</v>
          </cell>
          <cell r="M2327">
            <v>-16.304166666666667</v>
          </cell>
        </row>
        <row r="2328">
          <cell r="L2328" t="str">
            <v>Bank Charges</v>
          </cell>
          <cell r="M2328">
            <v>-5.55</v>
          </cell>
        </row>
        <row r="2329">
          <cell r="L2329" t="str">
            <v>Minerva Rent</v>
          </cell>
          <cell r="M2329">
            <v>0</v>
          </cell>
        </row>
        <row r="2330">
          <cell r="L2330" t="str">
            <v>Minerva Rent</v>
          </cell>
          <cell r="M2330">
            <v>2794.12</v>
          </cell>
        </row>
        <row r="2331">
          <cell r="L2331" t="str">
            <v>Minerva Agent</v>
          </cell>
          <cell r="M2331">
            <v>-238.62</v>
          </cell>
        </row>
        <row r="2332">
          <cell r="L2332" t="str">
            <v>Bank Charges</v>
          </cell>
          <cell r="M2332">
            <v>-5</v>
          </cell>
        </row>
        <row r="2333">
          <cell r="L2333" t="str">
            <v>Unknown</v>
          </cell>
          <cell r="M2333">
            <v>-45</v>
          </cell>
        </row>
        <row r="2334">
          <cell r="L2334" t="str">
            <v>Unknown</v>
          </cell>
          <cell r="M2334">
            <v>-100</v>
          </cell>
        </row>
        <row r="2335">
          <cell r="L2335" t="str">
            <v>Bank Charges</v>
          </cell>
          <cell r="M2335">
            <v>-3</v>
          </cell>
        </row>
        <row r="2336">
          <cell r="L2336" t="str">
            <v>Bank Charges</v>
          </cell>
          <cell r="M2336">
            <v>-24</v>
          </cell>
        </row>
        <row r="2337">
          <cell r="L2337" t="str">
            <v>Household Items</v>
          </cell>
          <cell r="M2337">
            <v>-101.19583333333334</v>
          </cell>
        </row>
        <row r="2338">
          <cell r="L2338" t="str">
            <v>Eating Out</v>
          </cell>
          <cell r="M2338">
            <v>-9.9041666666666668</v>
          </cell>
        </row>
        <row r="2339">
          <cell r="L2339" t="str">
            <v>Household Items</v>
          </cell>
          <cell r="M2339">
            <v>-17.870833333333334</v>
          </cell>
        </row>
        <row r="2340">
          <cell r="L2340" t="str">
            <v>Eating Out</v>
          </cell>
          <cell r="M2340">
            <v>-187.83333333333334</v>
          </cell>
        </row>
        <row r="2341">
          <cell r="L2341" t="str">
            <v>Dont Account For</v>
          </cell>
          <cell r="M2341">
            <v>41.666666666666671</v>
          </cell>
        </row>
        <row r="2342">
          <cell r="L2342" t="str">
            <v>Eating Out</v>
          </cell>
          <cell r="M2342">
            <v>-60.808333333333337</v>
          </cell>
        </row>
        <row r="2343">
          <cell r="L2343" t="str">
            <v>Petrol</v>
          </cell>
          <cell r="M2343">
            <v>-88.42916666666666</v>
          </cell>
        </row>
        <row r="2344">
          <cell r="L2344" t="str">
            <v>Eating Out</v>
          </cell>
          <cell r="M2344">
            <v>-11.5625</v>
          </cell>
        </row>
        <row r="2345">
          <cell r="L2345" t="str">
            <v>Regular Cost</v>
          </cell>
          <cell r="M2345">
            <v>-126.59583333333333</v>
          </cell>
        </row>
        <row r="2346">
          <cell r="L2346" t="str">
            <v>Regular Cost</v>
          </cell>
          <cell r="M2346">
            <v>-128.74166666666667</v>
          </cell>
        </row>
        <row r="2347">
          <cell r="L2347" t="str">
            <v>Groceries</v>
          </cell>
          <cell r="M2347">
            <v>-56.30833333333333</v>
          </cell>
        </row>
        <row r="2348">
          <cell r="L2348" t="str">
            <v>Eating Out</v>
          </cell>
          <cell r="M2348">
            <v>-22.366666666666667</v>
          </cell>
        </row>
        <row r="2349">
          <cell r="L2349" t="str">
            <v>Eating Out</v>
          </cell>
          <cell r="M2349">
            <v>-19.841666666666665</v>
          </cell>
        </row>
        <row r="2350">
          <cell r="L2350" t="str">
            <v>Car Maintenance</v>
          </cell>
          <cell r="M2350">
            <v>-89.591666666666669</v>
          </cell>
        </row>
        <row r="2351">
          <cell r="L2351" t="str">
            <v>Eating Out</v>
          </cell>
          <cell r="M2351">
            <v>-33.154166666666669</v>
          </cell>
        </row>
        <row r="2352">
          <cell r="L2352" t="str">
            <v>Unknown</v>
          </cell>
          <cell r="M2352">
            <v>-68.541666666666671</v>
          </cell>
        </row>
        <row r="2353">
          <cell r="L2353" t="str">
            <v>Eating Out</v>
          </cell>
          <cell r="M2353">
            <v>-16.487500000000001</v>
          </cell>
        </row>
        <row r="2354">
          <cell r="L2354" t="str">
            <v>Regular Cost</v>
          </cell>
          <cell r="M2354">
            <v>-90.795833333333334</v>
          </cell>
        </row>
        <row r="2355">
          <cell r="L2355" t="str">
            <v>Gifts</v>
          </cell>
          <cell r="M2355">
            <v>-63.412500000000001</v>
          </cell>
        </row>
        <row r="2356">
          <cell r="L2356" t="str">
            <v>Unknown</v>
          </cell>
          <cell r="M2356">
            <v>-19.470833333333331</v>
          </cell>
        </row>
        <row r="2357">
          <cell r="L2357" t="str">
            <v>Dont Account For</v>
          </cell>
          <cell r="M2357">
            <v>-150</v>
          </cell>
        </row>
        <row r="2358">
          <cell r="L2358" t="str">
            <v>Unknown</v>
          </cell>
          <cell r="M2358">
            <v>-100</v>
          </cell>
        </row>
        <row r="2359">
          <cell r="L2359" t="str">
            <v>Bank Charges</v>
          </cell>
          <cell r="M2359">
            <v>-1.5</v>
          </cell>
        </row>
        <row r="2360">
          <cell r="L2360" t="str">
            <v>Eating Out</v>
          </cell>
          <cell r="M2360">
            <v>-25.558333333333337</v>
          </cell>
        </row>
        <row r="2361">
          <cell r="L2361" t="str">
            <v>Dont Account For</v>
          </cell>
          <cell r="M2361">
            <v>8333.3333333333339</v>
          </cell>
        </row>
        <row r="2362">
          <cell r="L2362" t="str">
            <v>Gifts</v>
          </cell>
          <cell r="M2362">
            <v>-38.841666666666669</v>
          </cell>
        </row>
        <row r="2363">
          <cell r="L2363" t="str">
            <v>Gifts</v>
          </cell>
          <cell r="M2363">
            <v>-15.329166666666667</v>
          </cell>
        </row>
        <row r="2364">
          <cell r="L2364" t="str">
            <v>Gifts</v>
          </cell>
          <cell r="M2364">
            <v>-76.537500000000009</v>
          </cell>
        </row>
        <row r="2365">
          <cell r="L2365" t="str">
            <v>Minerva Agent</v>
          </cell>
          <cell r="M2365">
            <v>-104.53333333333333</v>
          </cell>
        </row>
        <row r="2366">
          <cell r="L2366" t="str">
            <v>Stationary</v>
          </cell>
          <cell r="M2366">
            <v>-31.404166666666669</v>
          </cell>
        </row>
        <row r="2367">
          <cell r="L2367" t="str">
            <v>Unknown</v>
          </cell>
          <cell r="M2367">
            <v>-474.53333333333342</v>
          </cell>
        </row>
        <row r="2368">
          <cell r="L2368" t="str">
            <v>Eating Out</v>
          </cell>
          <cell r="M2368">
            <v>-17.779166666666669</v>
          </cell>
        </row>
        <row r="2369">
          <cell r="L2369" t="str">
            <v>Computer Hardware</v>
          </cell>
          <cell r="M2369">
            <v>-90.20416666666668</v>
          </cell>
        </row>
        <row r="2370">
          <cell r="L2370" t="str">
            <v>Wool</v>
          </cell>
          <cell r="M2370">
            <v>-122.93333333333335</v>
          </cell>
        </row>
        <row r="2371">
          <cell r="L2371" t="str">
            <v>Books, Videos, Magazines</v>
          </cell>
          <cell r="M2371">
            <v>-218.80416666666667</v>
          </cell>
        </row>
        <row r="2372">
          <cell r="L2372" t="str">
            <v>Gifts</v>
          </cell>
          <cell r="M2372">
            <v>-113.65416666666667</v>
          </cell>
        </row>
        <row r="2373">
          <cell r="L2373" t="str">
            <v>Dont Account For</v>
          </cell>
          <cell r="M2373">
            <v>41.666666666666671</v>
          </cell>
        </row>
        <row r="2374">
          <cell r="L2374" t="str">
            <v>Dont Account For</v>
          </cell>
          <cell r="M2374">
            <v>41.666666666666671</v>
          </cell>
        </row>
        <row r="2375">
          <cell r="L2375" t="str">
            <v>Dont Account For</v>
          </cell>
          <cell r="M2375">
            <v>41.666666666666671</v>
          </cell>
        </row>
        <row r="2376">
          <cell r="L2376" t="str">
            <v>Dont Account For</v>
          </cell>
          <cell r="M2376">
            <v>41.666666666666671</v>
          </cell>
        </row>
        <row r="2377">
          <cell r="L2377" t="str">
            <v>Dont Account For</v>
          </cell>
          <cell r="M2377">
            <v>41.666666666666671</v>
          </cell>
        </row>
        <row r="2378">
          <cell r="L2378" t="str">
            <v>Dont Account For</v>
          </cell>
          <cell r="M2378">
            <v>41.666666666666671</v>
          </cell>
        </row>
        <row r="2379">
          <cell r="L2379" t="str">
            <v>Dont Account For</v>
          </cell>
          <cell r="M2379">
            <v>41.666666666666671</v>
          </cell>
        </row>
        <row r="2380">
          <cell r="L2380" t="str">
            <v>Dont Account For</v>
          </cell>
          <cell r="M2380">
            <v>41.666666666666671</v>
          </cell>
        </row>
        <row r="2381">
          <cell r="L2381" t="str">
            <v>Dont Account For</v>
          </cell>
          <cell r="M2381">
            <v>41.666666666666671</v>
          </cell>
        </row>
        <row r="2382">
          <cell r="L2382" t="str">
            <v>Dont Account For</v>
          </cell>
          <cell r="M2382">
            <v>41.666666666666671</v>
          </cell>
        </row>
        <row r="2383">
          <cell r="L2383" t="str">
            <v>Dont Account For</v>
          </cell>
          <cell r="M2383">
            <v>41.666666666666671</v>
          </cell>
        </row>
        <row r="2384">
          <cell r="L2384" t="str">
            <v>Dont Account For</v>
          </cell>
          <cell r="M2384">
            <v>41.666666666666671</v>
          </cell>
        </row>
        <row r="2385">
          <cell r="L2385" t="str">
            <v>Dont Account For</v>
          </cell>
          <cell r="M2385">
            <v>41.666666666666671</v>
          </cell>
        </row>
        <row r="2386">
          <cell r="L2386" t="str">
            <v>Dont Account For</v>
          </cell>
          <cell r="M2386">
            <v>-20.833333333333336</v>
          </cell>
        </row>
        <row r="2387">
          <cell r="L2387" t="str">
            <v>Unknown</v>
          </cell>
          <cell r="M2387">
            <v>-100</v>
          </cell>
        </row>
        <row r="2388">
          <cell r="L2388" t="str">
            <v>Eating Out</v>
          </cell>
          <cell r="M2388">
            <v>-70</v>
          </cell>
        </row>
        <row r="2389">
          <cell r="L2389" t="str">
            <v>Bank Charges</v>
          </cell>
          <cell r="M2389">
            <v>-1.5</v>
          </cell>
        </row>
        <row r="2390">
          <cell r="L2390" t="str">
            <v>Dont Account For</v>
          </cell>
          <cell r="M2390">
            <v>1125</v>
          </cell>
        </row>
        <row r="2391">
          <cell r="L2391" t="str">
            <v>Dont Account For</v>
          </cell>
          <cell r="M2391">
            <v>-1125</v>
          </cell>
        </row>
        <row r="2392">
          <cell r="L2392" t="str">
            <v>Dont Account For</v>
          </cell>
          <cell r="M2392">
            <v>1375</v>
          </cell>
        </row>
        <row r="2393">
          <cell r="L2393" t="str">
            <v>Dont Account For</v>
          </cell>
          <cell r="M2393">
            <v>-1250</v>
          </cell>
        </row>
        <row r="2394">
          <cell r="L2394" t="str">
            <v>Dont Account For</v>
          </cell>
          <cell r="M2394">
            <v>1250</v>
          </cell>
        </row>
        <row r="2395">
          <cell r="L2395" t="str">
            <v>Uniforms</v>
          </cell>
          <cell r="M2395">
            <v>-70.462500000000006</v>
          </cell>
        </row>
        <row r="2396">
          <cell r="L2396" t="str">
            <v>Books, Videos, Magazines</v>
          </cell>
          <cell r="M2396">
            <v>-29.170833333333338</v>
          </cell>
        </row>
        <row r="2397">
          <cell r="L2397" t="str">
            <v>Gifts</v>
          </cell>
          <cell r="M2397">
            <v>-162.19166666666666</v>
          </cell>
        </row>
        <row r="2398">
          <cell r="L2398" t="str">
            <v>Groceries</v>
          </cell>
          <cell r="M2398">
            <v>-112.31250000000001</v>
          </cell>
        </row>
        <row r="2399">
          <cell r="L2399" t="str">
            <v>Eating Out</v>
          </cell>
          <cell r="M2399">
            <v>-15.083333333333336</v>
          </cell>
        </row>
        <row r="2400">
          <cell r="L2400" t="str">
            <v>Books, Videos, Magazines</v>
          </cell>
          <cell r="M2400">
            <v>-52.329166666666673</v>
          </cell>
        </row>
        <row r="2401">
          <cell r="L2401" t="str">
            <v>Groceries</v>
          </cell>
          <cell r="M2401">
            <v>-163.78749999999999</v>
          </cell>
        </row>
        <row r="2402">
          <cell r="L2402" t="str">
            <v>Dont Account For</v>
          </cell>
          <cell r="M2402">
            <v>3750</v>
          </cell>
        </row>
        <row r="2403">
          <cell r="L2403" t="str">
            <v>Regular Cost</v>
          </cell>
          <cell r="M2403">
            <v>-33.38333333333334</v>
          </cell>
        </row>
        <row r="2404">
          <cell r="L2404" t="str">
            <v>Dont Account For</v>
          </cell>
          <cell r="M2404">
            <v>1666.6666666666667</v>
          </cell>
        </row>
        <row r="2405">
          <cell r="L2405" t="str">
            <v>Dont Account For</v>
          </cell>
          <cell r="M2405">
            <v>-25.245833333333337</v>
          </cell>
        </row>
        <row r="2406">
          <cell r="L2406" t="str">
            <v>Unknown</v>
          </cell>
          <cell r="M2406">
            <v>-45</v>
          </cell>
        </row>
        <row r="2407">
          <cell r="L2407" t="str">
            <v>Dont Account For</v>
          </cell>
          <cell r="M2407">
            <v>-54.375</v>
          </cell>
        </row>
        <row r="2408">
          <cell r="L2408" t="str">
            <v>Activities</v>
          </cell>
          <cell r="M2408">
            <v>-55.325000000000003</v>
          </cell>
        </row>
        <row r="2409">
          <cell r="L2409" t="str">
            <v>Unknown</v>
          </cell>
          <cell r="M2409">
            <v>-19.366666666666667</v>
          </cell>
        </row>
        <row r="2410">
          <cell r="L2410" t="str">
            <v>Eating Out</v>
          </cell>
          <cell r="M2410">
            <v>-111.04166666666667</v>
          </cell>
        </row>
        <row r="2411">
          <cell r="L2411" t="str">
            <v>Groceries</v>
          </cell>
          <cell r="M2411">
            <v>-123.4375</v>
          </cell>
        </row>
        <row r="2412">
          <cell r="L2412" t="str">
            <v>Eating Out</v>
          </cell>
          <cell r="M2412">
            <v>-30.533333333333335</v>
          </cell>
        </row>
        <row r="2413">
          <cell r="L2413" t="str">
            <v>Dont Account For</v>
          </cell>
          <cell r="M2413">
            <v>-50</v>
          </cell>
        </row>
        <row r="2414">
          <cell r="L2414" t="str">
            <v>Dont Account For</v>
          </cell>
          <cell r="M2414">
            <v>-13.9</v>
          </cell>
        </row>
        <row r="2415">
          <cell r="L2415" t="str">
            <v>Groceries</v>
          </cell>
          <cell r="M2415">
            <v>-118.44999999999999</v>
          </cell>
        </row>
        <row r="2416">
          <cell r="L2416" t="str">
            <v>Petrol</v>
          </cell>
          <cell r="M2416">
            <v>-94.325000000000003</v>
          </cell>
        </row>
        <row r="2417">
          <cell r="L2417" t="str">
            <v>Doctor</v>
          </cell>
          <cell r="M2417">
            <v>-71.308333333333337</v>
          </cell>
        </row>
        <row r="2418">
          <cell r="L2418" t="str">
            <v>Department Store</v>
          </cell>
          <cell r="M2418">
            <v>-38.833333333333336</v>
          </cell>
        </row>
        <row r="2419">
          <cell r="L2419" t="str">
            <v>Chemist</v>
          </cell>
          <cell r="M2419">
            <v>-16.725000000000001</v>
          </cell>
        </row>
        <row r="2420">
          <cell r="L2420" t="str">
            <v>Medicare Refund</v>
          </cell>
          <cell r="M2420">
            <v>32.1</v>
          </cell>
        </row>
        <row r="2421">
          <cell r="L2421" t="str">
            <v>Dont Account For</v>
          </cell>
          <cell r="M2421">
            <v>41.666666666666671</v>
          </cell>
        </row>
        <row r="2422">
          <cell r="L2422" t="str">
            <v>Dont Account For</v>
          </cell>
          <cell r="M2422">
            <v>41.666666666666671</v>
          </cell>
        </row>
        <row r="2423">
          <cell r="L2423" t="str">
            <v>Dont Account For</v>
          </cell>
          <cell r="M2423">
            <v>-117.33333333333334</v>
          </cell>
        </row>
        <row r="2424">
          <cell r="L2424" t="str">
            <v>Groceries</v>
          </cell>
          <cell r="M2424">
            <v>-32.704166666666666</v>
          </cell>
        </row>
        <row r="2425">
          <cell r="L2425" t="str">
            <v>Autumn Electricity</v>
          </cell>
          <cell r="M2425">
            <v>-372.67916666666667</v>
          </cell>
        </row>
        <row r="2426">
          <cell r="L2426" t="str">
            <v>Dont Account For</v>
          </cell>
          <cell r="M2426">
            <v>-55.758333333333333</v>
          </cell>
        </row>
        <row r="2427">
          <cell r="L2427" t="str">
            <v>Groceries</v>
          </cell>
          <cell r="M2427">
            <v>-174.75833333333335</v>
          </cell>
        </row>
        <row r="2428">
          <cell r="L2428" t="str">
            <v>Clothing</v>
          </cell>
          <cell r="M2428">
            <v>-49.920833333333334</v>
          </cell>
        </row>
        <row r="2429">
          <cell r="L2429" t="str">
            <v>Unknown</v>
          </cell>
          <cell r="M2429">
            <v>-24.37</v>
          </cell>
        </row>
        <row r="2430">
          <cell r="L2430" t="str">
            <v>Dont Account For</v>
          </cell>
          <cell r="M2430">
            <v>-29.166666666666668</v>
          </cell>
        </row>
        <row r="2431">
          <cell r="L2431" t="str">
            <v>Dont Account For</v>
          </cell>
          <cell r="M2431">
            <v>-27.962500000000002</v>
          </cell>
        </row>
        <row r="2432">
          <cell r="L2432" t="str">
            <v>VOIP</v>
          </cell>
          <cell r="M2432">
            <v>-20.366666666666667</v>
          </cell>
        </row>
        <row r="2433">
          <cell r="L2433" t="str">
            <v>Eating Out</v>
          </cell>
          <cell r="M2433">
            <v>-35.704166666666666</v>
          </cell>
        </row>
        <row r="2434">
          <cell r="L2434" t="str">
            <v>Wool</v>
          </cell>
          <cell r="M2434">
            <v>-78.550000000000011</v>
          </cell>
        </row>
        <row r="2435">
          <cell r="L2435" t="str">
            <v>Dont Account For</v>
          </cell>
          <cell r="M2435">
            <v>-453.125</v>
          </cell>
        </row>
        <row r="2436">
          <cell r="L2436" t="str">
            <v>Dont Account For</v>
          </cell>
          <cell r="M2436">
            <v>-20.833333333333336</v>
          </cell>
        </row>
        <row r="2437">
          <cell r="L2437" t="str">
            <v>Groceries</v>
          </cell>
          <cell r="M2437">
            <v>-68.5</v>
          </cell>
        </row>
        <row r="2438">
          <cell r="L2438" t="str">
            <v>Dont Account For</v>
          </cell>
          <cell r="M2438">
            <v>41.666666666666671</v>
          </cell>
        </row>
        <row r="2439">
          <cell r="L2439" t="str">
            <v>Dont Account For</v>
          </cell>
          <cell r="M2439">
            <v>41.666666666666671</v>
          </cell>
        </row>
        <row r="2440">
          <cell r="L2440" t="str">
            <v>Dont Account For</v>
          </cell>
          <cell r="M2440">
            <v>41.666666666666671</v>
          </cell>
        </row>
        <row r="2441">
          <cell r="L2441" t="str">
            <v>Dont Account For</v>
          </cell>
          <cell r="M2441">
            <v>41.666666666666671</v>
          </cell>
        </row>
        <row r="2442">
          <cell r="L2442" t="str">
            <v>Dont Account For</v>
          </cell>
          <cell r="M2442">
            <v>41.666666666666671</v>
          </cell>
        </row>
        <row r="2443">
          <cell r="L2443" t="str">
            <v>Dont Account For</v>
          </cell>
          <cell r="M2443">
            <v>41.666666666666671</v>
          </cell>
        </row>
        <row r="2444">
          <cell r="L2444" t="str">
            <v>Unknown</v>
          </cell>
          <cell r="M2444">
            <v>-45</v>
          </cell>
        </row>
        <row r="2445">
          <cell r="L2445" t="str">
            <v>Dont Account For</v>
          </cell>
          <cell r="M2445">
            <v>-72.916666666666671</v>
          </cell>
        </row>
        <row r="2446">
          <cell r="L2446" t="str">
            <v>Eating Out</v>
          </cell>
          <cell r="M2446">
            <v>-82.066666666666677</v>
          </cell>
        </row>
        <row r="2447">
          <cell r="L2447" t="str">
            <v>Household Items</v>
          </cell>
          <cell r="M2447">
            <v>-32.5</v>
          </cell>
        </row>
        <row r="2448">
          <cell r="L2448" t="str">
            <v>Doctor</v>
          </cell>
          <cell r="M2448">
            <v>-306.12083333333339</v>
          </cell>
        </row>
        <row r="2449">
          <cell r="L2449" t="str">
            <v>Optus Mobile</v>
          </cell>
          <cell r="M2449">
            <v>-103.6</v>
          </cell>
        </row>
        <row r="2450">
          <cell r="L2450" t="str">
            <v>Unknown</v>
          </cell>
          <cell r="M2450">
            <v>-675.29166666666674</v>
          </cell>
        </row>
        <row r="2451">
          <cell r="L2451" t="str">
            <v>Dont Account For</v>
          </cell>
          <cell r="M2451">
            <v>-103.8</v>
          </cell>
        </row>
        <row r="2452">
          <cell r="L2452" t="str">
            <v>Unknown</v>
          </cell>
          <cell r="M2452">
            <v>-73.470833333333346</v>
          </cell>
        </row>
        <row r="2453">
          <cell r="L2453" t="str">
            <v>Stationary</v>
          </cell>
          <cell r="M2453">
            <v>-147.51666666666668</v>
          </cell>
        </row>
        <row r="2454">
          <cell r="L2454" t="str">
            <v>Chemist</v>
          </cell>
          <cell r="M2454">
            <v>-77.39166666666668</v>
          </cell>
        </row>
        <row r="2455">
          <cell r="L2455" t="str">
            <v>Eating Out</v>
          </cell>
          <cell r="M2455">
            <v>-78.162500000000009</v>
          </cell>
        </row>
        <row r="2456">
          <cell r="L2456" t="str">
            <v>Dont Account For</v>
          </cell>
          <cell r="M2456">
            <v>-44.583333333333336</v>
          </cell>
        </row>
        <row r="2457">
          <cell r="L2457" t="str">
            <v>Car Maintenance</v>
          </cell>
          <cell r="M2457">
            <v>-367.66666666666669</v>
          </cell>
        </row>
        <row r="2458">
          <cell r="L2458" t="str">
            <v>Petrol</v>
          </cell>
          <cell r="M2458">
            <v>-95.462500000000006</v>
          </cell>
        </row>
        <row r="2459">
          <cell r="L2459" t="str">
            <v>Groceries</v>
          </cell>
          <cell r="M2459">
            <v>-104.47083333333333</v>
          </cell>
        </row>
        <row r="2460">
          <cell r="L2460" t="str">
            <v>Unknown</v>
          </cell>
          <cell r="M2460">
            <v>-400</v>
          </cell>
        </row>
        <row r="2461">
          <cell r="L2461" t="str">
            <v>Dont Account For</v>
          </cell>
          <cell r="M2461">
            <v>-59.150000000000006</v>
          </cell>
        </row>
        <row r="2462">
          <cell r="L2462" t="str">
            <v>Dont Account For</v>
          </cell>
          <cell r="M2462">
            <v>-32.5</v>
          </cell>
        </row>
        <row r="2463">
          <cell r="L2463" t="str">
            <v>Dont Account For</v>
          </cell>
          <cell r="M2463">
            <v>-18.554166666666667</v>
          </cell>
        </row>
        <row r="2464">
          <cell r="L2464" t="str">
            <v>Computer Hardware</v>
          </cell>
          <cell r="M2464">
            <v>-182.52916666666667</v>
          </cell>
        </row>
        <row r="2465">
          <cell r="L2465" t="str">
            <v>Eating Out</v>
          </cell>
          <cell r="M2465">
            <v>-43.241666666666667</v>
          </cell>
        </row>
        <row r="2466">
          <cell r="L2466" t="str">
            <v>Optus Home Phone</v>
          </cell>
          <cell r="M2466">
            <v>-109.60416666666667</v>
          </cell>
        </row>
        <row r="2467">
          <cell r="L2467" t="str">
            <v>Doctor</v>
          </cell>
          <cell r="M2467">
            <v>-77.220833333333346</v>
          </cell>
        </row>
        <row r="2468">
          <cell r="L2468" t="str">
            <v>Chemist</v>
          </cell>
          <cell r="M2468">
            <v>-101.60833333333335</v>
          </cell>
        </row>
        <row r="2469">
          <cell r="L2469" t="str">
            <v>Doctor</v>
          </cell>
          <cell r="M2469">
            <v>-231.81250000000003</v>
          </cell>
        </row>
        <row r="2470">
          <cell r="L2470" t="str">
            <v>Eating Out</v>
          </cell>
          <cell r="M2470">
            <v>-15.391666666666666</v>
          </cell>
        </row>
        <row r="2471">
          <cell r="M2471">
            <v>-153.58750000000001</v>
          </cell>
        </row>
        <row r="2472">
          <cell r="L2472" t="str">
            <v>Regular Cost</v>
          </cell>
          <cell r="M2472">
            <v>-329.17500000000001</v>
          </cell>
        </row>
        <row r="2473">
          <cell r="L2473" t="str">
            <v>Eating Out</v>
          </cell>
          <cell r="M2473">
            <v>-8.3333333333333339</v>
          </cell>
        </row>
        <row r="2474">
          <cell r="L2474" t="str">
            <v>Dont Account For</v>
          </cell>
          <cell r="M2474">
            <v>-83.333333333333343</v>
          </cell>
        </row>
        <row r="2475">
          <cell r="L2475" t="str">
            <v>Dont Account For</v>
          </cell>
          <cell r="M2475">
            <v>-115.66666666666669</v>
          </cell>
        </row>
        <row r="2476">
          <cell r="L2476" t="str">
            <v>Dont Account For</v>
          </cell>
          <cell r="M2476">
            <v>41.666666666666671</v>
          </cell>
        </row>
        <row r="2477">
          <cell r="L2477" t="str">
            <v>Computer Hardware</v>
          </cell>
          <cell r="M2477">
            <v>-189.25416666666666</v>
          </cell>
        </row>
        <row r="2478">
          <cell r="L2478" t="str">
            <v>Computer Books</v>
          </cell>
          <cell r="M2478">
            <v>-100.84166666666667</v>
          </cell>
        </row>
        <row r="2479">
          <cell r="L2479" t="str">
            <v>Associations</v>
          </cell>
          <cell r="M2479">
            <v>-32.195833333333333</v>
          </cell>
        </row>
        <row r="2480">
          <cell r="L2480" t="str">
            <v>Groceries</v>
          </cell>
          <cell r="M2480">
            <v>-122.43333333333332</v>
          </cell>
        </row>
        <row r="2481">
          <cell r="L2481" t="str">
            <v>Eating Out</v>
          </cell>
          <cell r="M2481">
            <v>-45.495833333333337</v>
          </cell>
        </row>
        <row r="2482">
          <cell r="L2482" t="str">
            <v>Doctor</v>
          </cell>
          <cell r="M2482">
            <v>-64.170833333333334</v>
          </cell>
        </row>
        <row r="2483">
          <cell r="L2483" t="str">
            <v>Activities</v>
          </cell>
          <cell r="M2483">
            <v>-86.633333333333326</v>
          </cell>
        </row>
        <row r="2484">
          <cell r="L2484" t="str">
            <v>Regular Cost</v>
          </cell>
          <cell r="M2484">
            <v>-56.466666666666676</v>
          </cell>
        </row>
        <row r="2485">
          <cell r="L2485" t="str">
            <v>Medicare Refund</v>
          </cell>
          <cell r="M2485">
            <v>32.1</v>
          </cell>
        </row>
        <row r="2486">
          <cell r="L2486" t="str">
            <v>Dont Account For</v>
          </cell>
          <cell r="M2486">
            <v>-107.5</v>
          </cell>
        </row>
        <row r="2487">
          <cell r="L2487" t="str">
            <v>Dont Account For</v>
          </cell>
          <cell r="M2487">
            <v>-64.583333333333343</v>
          </cell>
        </row>
        <row r="2488">
          <cell r="L2488" t="str">
            <v>Dont Account For</v>
          </cell>
          <cell r="M2488">
            <v>-34.166666666666671</v>
          </cell>
        </row>
        <row r="2489">
          <cell r="L2489" t="str">
            <v>Eating Out</v>
          </cell>
          <cell r="M2489">
            <v>-30.675000000000004</v>
          </cell>
        </row>
        <row r="2490">
          <cell r="L2490" t="str">
            <v>Regular Cost</v>
          </cell>
          <cell r="M2490">
            <v>-127.60000000000001</v>
          </cell>
        </row>
        <row r="2491">
          <cell r="L2491" t="str">
            <v>Regular Cost</v>
          </cell>
          <cell r="M2491">
            <v>-127.60000000000001</v>
          </cell>
        </row>
        <row r="2492">
          <cell r="L2492" t="str">
            <v>Regular Cost</v>
          </cell>
          <cell r="M2492">
            <v>-127.60000000000001</v>
          </cell>
        </row>
        <row r="2493">
          <cell r="L2493" t="str">
            <v>Gifts</v>
          </cell>
          <cell r="M2493">
            <v>-59.741666666666667</v>
          </cell>
        </row>
        <row r="2494">
          <cell r="L2494" t="str">
            <v>Dont Account For</v>
          </cell>
          <cell r="M2494">
            <v>41.666666666666671</v>
          </cell>
        </row>
        <row r="2495">
          <cell r="L2495" t="str">
            <v>Petrol</v>
          </cell>
          <cell r="M2495">
            <v>-39.900000000000006</v>
          </cell>
        </row>
        <row r="2496">
          <cell r="L2496" t="str">
            <v>Dont Account For</v>
          </cell>
          <cell r="M2496">
            <v>41.666666666666671</v>
          </cell>
        </row>
        <row r="2497">
          <cell r="L2497" t="str">
            <v>Dont Account For</v>
          </cell>
          <cell r="M2497">
            <v>41.666666666666671</v>
          </cell>
        </row>
        <row r="2498">
          <cell r="L2498" t="str">
            <v>Dont Account For</v>
          </cell>
          <cell r="M2498">
            <v>41.666666666666671</v>
          </cell>
        </row>
        <row r="2499">
          <cell r="L2499" t="str">
            <v>Dont Account For</v>
          </cell>
          <cell r="M2499">
            <v>41.666666666666671</v>
          </cell>
        </row>
        <row r="2500">
          <cell r="L2500" t="str">
            <v>Dont Account For</v>
          </cell>
          <cell r="M2500">
            <v>41.666666666666671</v>
          </cell>
        </row>
        <row r="2501">
          <cell r="L2501" t="str">
            <v>Dont Account For</v>
          </cell>
          <cell r="M2501">
            <v>41.666666666666671</v>
          </cell>
        </row>
        <row r="2502">
          <cell r="L2502" t="str">
            <v>Dont Account For</v>
          </cell>
          <cell r="M2502">
            <v>41.666666666666671</v>
          </cell>
        </row>
        <row r="2503">
          <cell r="L2503" t="str">
            <v>Groceries</v>
          </cell>
          <cell r="M2503">
            <v>-183.29166666666666</v>
          </cell>
        </row>
        <row r="2504">
          <cell r="L2504" t="str">
            <v>Doctor</v>
          </cell>
          <cell r="M2504">
            <v>-204.96250000000001</v>
          </cell>
        </row>
        <row r="2505">
          <cell r="L2505" t="str">
            <v>Clothing</v>
          </cell>
          <cell r="M2505">
            <v>-32.012500000000003</v>
          </cell>
        </row>
        <row r="2506">
          <cell r="L2506" t="str">
            <v>Regular Cost</v>
          </cell>
          <cell r="M2506">
            <v>-1031.2125000000001</v>
          </cell>
        </row>
        <row r="2507">
          <cell r="L2507" t="str">
            <v>Dont Account For</v>
          </cell>
          <cell r="M2507">
            <v>-37.5</v>
          </cell>
        </row>
        <row r="2508">
          <cell r="L2508" t="str">
            <v>Dont Account For</v>
          </cell>
          <cell r="M2508">
            <v>-20</v>
          </cell>
        </row>
        <row r="2509">
          <cell r="L2509" t="str">
            <v>Dont Account For</v>
          </cell>
          <cell r="M2509">
            <v>125</v>
          </cell>
        </row>
        <row r="2510">
          <cell r="L2510" t="str">
            <v>Dont Account For</v>
          </cell>
          <cell r="M2510">
            <v>41.666666666666671</v>
          </cell>
        </row>
        <row r="2511">
          <cell r="L2511" t="str">
            <v>Dont Account For</v>
          </cell>
          <cell r="M2511">
            <v>41.666666666666671</v>
          </cell>
        </row>
        <row r="2512">
          <cell r="L2512" t="str">
            <v>Dont Account For</v>
          </cell>
          <cell r="M2512">
            <v>41.666666666666671</v>
          </cell>
        </row>
        <row r="2513">
          <cell r="L2513" t="str">
            <v>Dont Account For</v>
          </cell>
          <cell r="M2513">
            <v>41.666666666666671</v>
          </cell>
        </row>
        <row r="2514">
          <cell r="L2514" t="str">
            <v>Dont Account For</v>
          </cell>
          <cell r="M2514">
            <v>125</v>
          </cell>
        </row>
        <row r="2515">
          <cell r="L2515" t="str">
            <v>Dont Account For</v>
          </cell>
          <cell r="M2515">
            <v>41.666666666666671</v>
          </cell>
        </row>
        <row r="2516">
          <cell r="L2516" t="str">
            <v>Dont Account For</v>
          </cell>
          <cell r="M2516">
            <v>125</v>
          </cell>
        </row>
        <row r="2517">
          <cell r="L2517" t="str">
            <v>Dont Account For</v>
          </cell>
          <cell r="M2517">
            <v>5416.666666666667</v>
          </cell>
        </row>
        <row r="2518">
          <cell r="L2518" t="str">
            <v>Dont Account For</v>
          </cell>
          <cell r="M2518">
            <v>19166.666666666668</v>
          </cell>
        </row>
        <row r="2519">
          <cell r="L2519" t="str">
            <v>Department Store</v>
          </cell>
          <cell r="M2519">
            <v>-168.3125</v>
          </cell>
        </row>
        <row r="2520">
          <cell r="L2520" t="str">
            <v>Unknown</v>
          </cell>
          <cell r="M2520">
            <v>-200</v>
          </cell>
        </row>
        <row r="2521">
          <cell r="L2521" t="str">
            <v>Unknown</v>
          </cell>
          <cell r="M2521">
            <v>-65.079166666666666</v>
          </cell>
        </row>
        <row r="2522">
          <cell r="L2522" t="str">
            <v>Unknown</v>
          </cell>
          <cell r="M2522">
            <v>-30.487500000000001</v>
          </cell>
        </row>
        <row r="2523">
          <cell r="L2523" t="str">
            <v>Unknown</v>
          </cell>
          <cell r="M2523">
            <v>-83.266666666666666</v>
          </cell>
        </row>
        <row r="2524">
          <cell r="L2524" t="str">
            <v>Unknown</v>
          </cell>
          <cell r="M2524">
            <v>-19.729166666666668</v>
          </cell>
        </row>
        <row r="2525">
          <cell r="L2525" t="str">
            <v>Wool</v>
          </cell>
          <cell r="M2525">
            <v>-218.67083333333332</v>
          </cell>
        </row>
        <row r="2526">
          <cell r="L2526" t="str">
            <v>Car Maintenance</v>
          </cell>
          <cell r="M2526">
            <v>-739.08749999999998</v>
          </cell>
        </row>
        <row r="2527">
          <cell r="L2527" t="str">
            <v>Clothing</v>
          </cell>
          <cell r="M2527">
            <v>-18.320833333333333</v>
          </cell>
        </row>
        <row r="2528">
          <cell r="L2528" t="str">
            <v>Regular Cost</v>
          </cell>
          <cell r="M2528">
            <v>-123.70833333333333</v>
          </cell>
        </row>
        <row r="2529">
          <cell r="L2529" t="str">
            <v>Activities</v>
          </cell>
          <cell r="M2529">
            <v>-64.625</v>
          </cell>
        </row>
        <row r="2530">
          <cell r="L2530" t="str">
            <v>Activities</v>
          </cell>
          <cell r="M2530">
            <v>-15.375</v>
          </cell>
        </row>
        <row r="2531">
          <cell r="L2531" t="str">
            <v>Books, Videos, Magazines</v>
          </cell>
          <cell r="M2531">
            <v>-19.154166666666669</v>
          </cell>
        </row>
        <row r="2532">
          <cell r="L2532" t="str">
            <v>Unknown</v>
          </cell>
          <cell r="M2532">
            <v>-1000</v>
          </cell>
        </row>
        <row r="2533">
          <cell r="L2533" t="str">
            <v>Activities</v>
          </cell>
          <cell r="M2533">
            <v>-50.779166666666669</v>
          </cell>
        </row>
        <row r="2534">
          <cell r="L2534" t="str">
            <v>Dont Account For</v>
          </cell>
          <cell r="M2534">
            <v>-39.820833333333333</v>
          </cell>
        </row>
        <row r="2535">
          <cell r="L2535" t="str">
            <v>Petrol</v>
          </cell>
          <cell r="M2535">
            <v>-26.112500000000001</v>
          </cell>
        </row>
        <row r="2536">
          <cell r="L2536" t="str">
            <v>Groceries</v>
          </cell>
          <cell r="M2536">
            <v>-193.04583333333335</v>
          </cell>
        </row>
        <row r="2537">
          <cell r="L2537" t="str">
            <v>Minerva Rent</v>
          </cell>
          <cell r="M2537">
            <v>0</v>
          </cell>
        </row>
        <row r="2538">
          <cell r="L2538" t="str">
            <v>Minerva Rent</v>
          </cell>
          <cell r="M2538">
            <v>2794.12</v>
          </cell>
        </row>
        <row r="2539">
          <cell r="L2539" t="str">
            <v>Minerva Agent</v>
          </cell>
          <cell r="M2539">
            <v>-238.62</v>
          </cell>
        </row>
        <row r="2540">
          <cell r="L2540" t="str">
            <v>Unknown</v>
          </cell>
          <cell r="M2540">
            <v>-11.43</v>
          </cell>
        </row>
        <row r="2541">
          <cell r="L2541" t="str">
            <v>Unknown</v>
          </cell>
          <cell r="M2541">
            <v>-10.55</v>
          </cell>
        </row>
        <row r="2542">
          <cell r="L2542" t="str">
            <v>Dont Account For</v>
          </cell>
          <cell r="M2542">
            <v>1000</v>
          </cell>
        </row>
        <row r="2543">
          <cell r="L2543" t="str">
            <v>Unknown</v>
          </cell>
          <cell r="M2543">
            <v>-213.37500000000003</v>
          </cell>
        </row>
        <row r="2544">
          <cell r="L2544" t="str">
            <v>Regular Cost</v>
          </cell>
          <cell r="M2544">
            <v>-1404.6000000000001</v>
          </cell>
        </row>
        <row r="2545">
          <cell r="L2545" t="str">
            <v>Wool</v>
          </cell>
          <cell r="M2545">
            <v>-34.087500000000006</v>
          </cell>
        </row>
        <row r="2546">
          <cell r="L2546" t="str">
            <v>Regular Cost</v>
          </cell>
          <cell r="M2546">
            <v>-154.24583333333334</v>
          </cell>
        </row>
        <row r="2547">
          <cell r="L2547" t="str">
            <v>Car Maintenance</v>
          </cell>
          <cell r="M2547">
            <v>-1636.2916666666667</v>
          </cell>
        </row>
        <row r="2548">
          <cell r="L2548" t="str">
            <v>Wool</v>
          </cell>
          <cell r="M2548">
            <v>-572.97500000000002</v>
          </cell>
        </row>
        <row r="2549">
          <cell r="L2549" t="str">
            <v>Eating Out</v>
          </cell>
          <cell r="M2549">
            <v>-47.741666666666667</v>
          </cell>
        </row>
        <row r="2550">
          <cell r="L2550" t="str">
            <v>Minerva Agent</v>
          </cell>
          <cell r="M2550">
            <v>-22.304166666666667</v>
          </cell>
        </row>
        <row r="2551">
          <cell r="L2551" t="str">
            <v>Bank Charges</v>
          </cell>
          <cell r="M2551">
            <v>-2.9</v>
          </cell>
        </row>
        <row r="2552">
          <cell r="L2552" t="str">
            <v>Bank Charges</v>
          </cell>
          <cell r="M2552">
            <v>-6</v>
          </cell>
        </row>
        <row r="2553">
          <cell r="L2553" t="str">
            <v>Regular Cost</v>
          </cell>
          <cell r="M2553">
            <v>-172.37</v>
          </cell>
        </row>
        <row r="2554">
          <cell r="L2554" t="str">
            <v>Dont Account For</v>
          </cell>
          <cell r="M2554">
            <v>0.03</v>
          </cell>
        </row>
        <row r="2555">
          <cell r="L2555" t="str">
            <v>Bank Charges</v>
          </cell>
          <cell r="M2555">
            <v>-5</v>
          </cell>
        </row>
        <row r="2556">
          <cell r="L2556" t="str">
            <v>Unknown</v>
          </cell>
          <cell r="M2556">
            <v>-100</v>
          </cell>
        </row>
        <row r="2557">
          <cell r="L2557" t="str">
            <v>Eating Out</v>
          </cell>
          <cell r="M2557">
            <v>-45.4</v>
          </cell>
        </row>
        <row r="2558">
          <cell r="L2558" t="str">
            <v>Regular Cost</v>
          </cell>
          <cell r="M2558">
            <v>-90.95</v>
          </cell>
        </row>
        <row r="2559">
          <cell r="L2559" t="str">
            <v>Gifts</v>
          </cell>
          <cell r="M2559">
            <v>-100.90416666666667</v>
          </cell>
        </row>
        <row r="2560">
          <cell r="L2560" t="str">
            <v>Groceries</v>
          </cell>
          <cell r="M2560">
            <v>-29.908333333333335</v>
          </cell>
        </row>
        <row r="2561">
          <cell r="L2561" t="str">
            <v>Petrol</v>
          </cell>
          <cell r="M2561">
            <v>-91.5</v>
          </cell>
        </row>
        <row r="2562">
          <cell r="L2562" t="str">
            <v>Doctor</v>
          </cell>
          <cell r="M2562">
            <v>-156.05000000000001</v>
          </cell>
        </row>
        <row r="2563">
          <cell r="L2563" t="str">
            <v>Regular Cost</v>
          </cell>
          <cell r="M2563">
            <v>-23.279166666666665</v>
          </cell>
        </row>
        <row r="2564">
          <cell r="L2564" t="str">
            <v>Unknown</v>
          </cell>
          <cell r="M2564">
            <v>-100</v>
          </cell>
        </row>
        <row r="2565">
          <cell r="L2565" t="str">
            <v>Eating Out</v>
          </cell>
          <cell r="M2565">
            <v>-4.5</v>
          </cell>
        </row>
        <row r="2566">
          <cell r="L2566" t="str">
            <v>Unknown</v>
          </cell>
          <cell r="M2566">
            <v>-100</v>
          </cell>
        </row>
        <row r="2567">
          <cell r="L2567" t="str">
            <v>Dont Account For</v>
          </cell>
          <cell r="M2567">
            <v>-20.833333333333336</v>
          </cell>
        </row>
        <row r="2568">
          <cell r="L2568" t="str">
            <v>Dont Account For</v>
          </cell>
          <cell r="M2568">
            <v>1575</v>
          </cell>
        </row>
        <row r="2569">
          <cell r="L2569" t="str">
            <v>Dont Account For</v>
          </cell>
          <cell r="M2569">
            <v>-2291.666666666667</v>
          </cell>
        </row>
        <row r="2570">
          <cell r="L2570" t="str">
            <v>Dont Account For</v>
          </cell>
          <cell r="M2570">
            <v>2291.666666666667</v>
          </cell>
        </row>
        <row r="2571">
          <cell r="L2571" t="str">
            <v>Groceries</v>
          </cell>
          <cell r="M2571">
            <v>-15.604166666666668</v>
          </cell>
        </row>
        <row r="2572">
          <cell r="L2572" t="str">
            <v>Regular Cost</v>
          </cell>
          <cell r="M2572">
            <v>-33.812500000000007</v>
          </cell>
        </row>
        <row r="2573">
          <cell r="L2573" t="str">
            <v>Department Store</v>
          </cell>
          <cell r="M2573">
            <v>-207.25</v>
          </cell>
        </row>
        <row r="2574">
          <cell r="L2574" t="str">
            <v>Eating Out</v>
          </cell>
          <cell r="M2574">
            <v>-88.100000000000009</v>
          </cell>
        </row>
        <row r="2575">
          <cell r="L2575" t="str">
            <v>Unknown</v>
          </cell>
          <cell r="M2575">
            <v>-71.316666666666663</v>
          </cell>
        </row>
        <row r="2576">
          <cell r="L2576" t="str">
            <v>Unknown</v>
          </cell>
          <cell r="M2576">
            <v>-54.358333333333341</v>
          </cell>
        </row>
        <row r="2577">
          <cell r="L2577" t="str">
            <v>Regular Cost</v>
          </cell>
          <cell r="M2577">
            <v>-41.570833333333333</v>
          </cell>
        </row>
        <row r="2578">
          <cell r="L2578" t="str">
            <v>Eating Out</v>
          </cell>
          <cell r="M2578">
            <v>-165.61666666666667</v>
          </cell>
        </row>
        <row r="2579">
          <cell r="L2579" t="str">
            <v>Groceries</v>
          </cell>
          <cell r="M2579">
            <v>-136.52500000000001</v>
          </cell>
        </row>
        <row r="2580">
          <cell r="L2580" t="str">
            <v>Dont Account For</v>
          </cell>
          <cell r="M2580">
            <v>-94.362499999999997</v>
          </cell>
        </row>
        <row r="2581">
          <cell r="L2581" t="str">
            <v>Unknown</v>
          </cell>
          <cell r="M2581">
            <v>-45</v>
          </cell>
        </row>
        <row r="2582">
          <cell r="L2582" t="str">
            <v>Dont Account For</v>
          </cell>
          <cell r="M2582">
            <v>41.666666666666671</v>
          </cell>
        </row>
        <row r="2583">
          <cell r="L2583" t="str">
            <v>Dont Account For</v>
          </cell>
          <cell r="M2583">
            <v>41.666666666666671</v>
          </cell>
        </row>
        <row r="2584">
          <cell r="L2584" t="str">
            <v>Dont Account For</v>
          </cell>
          <cell r="M2584">
            <v>41.666666666666671</v>
          </cell>
        </row>
        <row r="2585">
          <cell r="L2585" t="str">
            <v>Dont Account For</v>
          </cell>
          <cell r="M2585">
            <v>41.666666666666671</v>
          </cell>
        </row>
        <row r="2586">
          <cell r="L2586" t="str">
            <v>Dont Account For</v>
          </cell>
          <cell r="M2586">
            <v>41.666666666666671</v>
          </cell>
        </row>
        <row r="2587">
          <cell r="L2587" t="str">
            <v>Dont Account For</v>
          </cell>
          <cell r="M2587">
            <v>41.666666666666671</v>
          </cell>
        </row>
        <row r="2588">
          <cell r="L2588" t="str">
            <v>Dont Account For</v>
          </cell>
          <cell r="M2588">
            <v>41.666666666666671</v>
          </cell>
        </row>
        <row r="2589">
          <cell r="L2589" t="str">
            <v>Dont Account For</v>
          </cell>
          <cell r="M2589">
            <v>41.666666666666671</v>
          </cell>
        </row>
        <row r="2590">
          <cell r="L2590" t="str">
            <v>Dont Account For</v>
          </cell>
          <cell r="M2590">
            <v>41.666666666666671</v>
          </cell>
        </row>
        <row r="2591">
          <cell r="L2591" t="str">
            <v>Dont Account For</v>
          </cell>
          <cell r="M2591">
            <v>41.666666666666671</v>
          </cell>
        </row>
        <row r="2592">
          <cell r="L2592" t="str">
            <v>Dont Account For</v>
          </cell>
          <cell r="M2592">
            <v>41.666666666666671</v>
          </cell>
        </row>
        <row r="2593">
          <cell r="L2593" t="str">
            <v>Dont Account For</v>
          </cell>
          <cell r="M2593">
            <v>41.666666666666671</v>
          </cell>
        </row>
        <row r="2594">
          <cell r="L2594" t="str">
            <v>Clothing</v>
          </cell>
          <cell r="M2594">
            <v>-50.233333333333334</v>
          </cell>
        </row>
        <row r="2595">
          <cell r="L2595" t="str">
            <v>Groceries</v>
          </cell>
          <cell r="M2595">
            <v>-153.24583333333334</v>
          </cell>
        </row>
        <row r="2596">
          <cell r="L2596" t="str">
            <v>Activities</v>
          </cell>
          <cell r="M2596">
            <v>-23.487500000000001</v>
          </cell>
        </row>
        <row r="2597">
          <cell r="L2597" t="str">
            <v>Eating Out</v>
          </cell>
          <cell r="M2597">
            <v>-87.158333333333346</v>
          </cell>
        </row>
        <row r="2598">
          <cell r="L2598" t="str">
            <v>Doctor</v>
          </cell>
          <cell r="M2598">
            <v>-172.22916666666669</v>
          </cell>
        </row>
        <row r="2599">
          <cell r="L2599" t="str">
            <v>Stationary</v>
          </cell>
          <cell r="M2599">
            <v>-40.445833333333333</v>
          </cell>
        </row>
        <row r="2600">
          <cell r="L2600" t="str">
            <v>Petrol</v>
          </cell>
          <cell r="M2600">
            <v>-81.13333333333334</v>
          </cell>
        </row>
        <row r="2601">
          <cell r="L2601" t="str">
            <v>Minerva WaterSewage</v>
          </cell>
          <cell r="M2601">
            <v>-124.77499999999999</v>
          </cell>
        </row>
        <row r="2602">
          <cell r="L2602" t="str">
            <v>Eating Out</v>
          </cell>
          <cell r="M2602">
            <v>-68.962500000000006</v>
          </cell>
        </row>
        <row r="2603">
          <cell r="L2603" t="str">
            <v>Eating Out</v>
          </cell>
          <cell r="M2603">
            <v>-21.466666666666669</v>
          </cell>
        </row>
        <row r="2604">
          <cell r="L2604" t="str">
            <v>Dont Account For</v>
          </cell>
          <cell r="M2604">
            <v>-17.733333333333334</v>
          </cell>
        </row>
        <row r="2605">
          <cell r="L2605" t="str">
            <v>Unknown</v>
          </cell>
          <cell r="M2605">
            <v>-23.683333333333337</v>
          </cell>
        </row>
        <row r="2606">
          <cell r="L2606" t="str">
            <v>Unknown</v>
          </cell>
          <cell r="M2606">
            <v>-120</v>
          </cell>
        </row>
        <row r="2607">
          <cell r="L2607" t="str">
            <v>Charity</v>
          </cell>
          <cell r="M2607">
            <v>-32.908333333333339</v>
          </cell>
        </row>
        <row r="2608">
          <cell r="L2608" t="str">
            <v>Groceries</v>
          </cell>
          <cell r="M2608">
            <v>-225.32916666666665</v>
          </cell>
        </row>
        <row r="2609">
          <cell r="L2609" t="str">
            <v>Eating Out</v>
          </cell>
          <cell r="M2609">
            <v>-40.950000000000003</v>
          </cell>
        </row>
        <row r="2610">
          <cell r="L2610" t="str">
            <v>Dont Account For</v>
          </cell>
          <cell r="M2610">
            <v>41.666666666666671</v>
          </cell>
        </row>
        <row r="2611">
          <cell r="L2611" t="str">
            <v>Dont Account For</v>
          </cell>
          <cell r="M2611">
            <v>41.666666666666671</v>
          </cell>
        </row>
        <row r="2612">
          <cell r="L2612" t="str">
            <v>Dont Account For</v>
          </cell>
          <cell r="M2612">
            <v>41.666666666666671</v>
          </cell>
        </row>
        <row r="2613">
          <cell r="L2613" t="str">
            <v>Groceries</v>
          </cell>
          <cell r="M2613">
            <v>-42.675000000000004</v>
          </cell>
        </row>
        <row r="2614">
          <cell r="L2614" t="str">
            <v>Dont Account For</v>
          </cell>
          <cell r="M2614">
            <v>-131.59583333333333</v>
          </cell>
        </row>
        <row r="2615">
          <cell r="L2615" t="str">
            <v>Unknown</v>
          </cell>
          <cell r="M2615">
            <v>-65.891666666666666</v>
          </cell>
        </row>
        <row r="2616">
          <cell r="L2616" t="str">
            <v>Wool</v>
          </cell>
          <cell r="M2616">
            <v>-29.1875</v>
          </cell>
        </row>
        <row r="2617">
          <cell r="L2617" t="str">
            <v>Household Items</v>
          </cell>
          <cell r="M2617">
            <v>-10</v>
          </cell>
        </row>
        <row r="2618">
          <cell r="L2618" t="str">
            <v>Dont Account For</v>
          </cell>
          <cell r="M2618">
            <v>41.666666666666671</v>
          </cell>
        </row>
        <row r="2619">
          <cell r="L2619" t="str">
            <v>Dont Account For</v>
          </cell>
          <cell r="M2619">
            <v>41.666666666666671</v>
          </cell>
        </row>
        <row r="2620">
          <cell r="L2620" t="str">
            <v>Dont Account For</v>
          </cell>
          <cell r="M2620">
            <v>41.666666666666671</v>
          </cell>
        </row>
        <row r="2621">
          <cell r="L2621" t="str">
            <v>Dont Account For</v>
          </cell>
          <cell r="M2621">
            <v>41.666666666666671</v>
          </cell>
        </row>
        <row r="2622">
          <cell r="L2622" t="str">
            <v>Unknown</v>
          </cell>
          <cell r="M2622">
            <v>-100</v>
          </cell>
        </row>
        <row r="2623">
          <cell r="L2623" t="str">
            <v>Books, Videos, Magazines</v>
          </cell>
          <cell r="M2623">
            <v>-95.808333333333337</v>
          </cell>
        </row>
        <row r="2624">
          <cell r="L2624" t="str">
            <v>Department Store</v>
          </cell>
          <cell r="M2624">
            <v>-21.020833333333336</v>
          </cell>
        </row>
        <row r="2625">
          <cell r="L2625" t="str">
            <v>Department Store</v>
          </cell>
          <cell r="M2625">
            <v>-275.36666666666667</v>
          </cell>
        </row>
        <row r="2626">
          <cell r="L2626" t="str">
            <v>Department Store</v>
          </cell>
          <cell r="M2626">
            <v>-72.441666666666677</v>
          </cell>
        </row>
        <row r="2627">
          <cell r="L2627" t="str">
            <v>Department Store</v>
          </cell>
          <cell r="M2627">
            <v>-76.104166666666671</v>
          </cell>
        </row>
        <row r="2628">
          <cell r="L2628" t="str">
            <v>Doctor</v>
          </cell>
          <cell r="M2628">
            <v>-59.345833333333339</v>
          </cell>
        </row>
        <row r="2629">
          <cell r="L2629" t="str">
            <v>Dont Account For</v>
          </cell>
          <cell r="M2629">
            <v>-75.5</v>
          </cell>
        </row>
        <row r="2630">
          <cell r="L2630" t="str">
            <v>Unknown</v>
          </cell>
          <cell r="M2630">
            <v>-14.454166666666666</v>
          </cell>
        </row>
        <row r="2631">
          <cell r="L2631" t="str">
            <v>Books, Videos, Magazines</v>
          </cell>
          <cell r="M2631">
            <v>-77.39166666666668</v>
          </cell>
        </row>
        <row r="2632">
          <cell r="L2632" t="str">
            <v>VOIP</v>
          </cell>
          <cell r="M2632">
            <v>-83.716666666666669</v>
          </cell>
        </row>
        <row r="2633">
          <cell r="L2633" t="str">
            <v>Groceries</v>
          </cell>
          <cell r="M2633">
            <v>-168.02916666666667</v>
          </cell>
        </row>
        <row r="2634">
          <cell r="L2634" t="str">
            <v>Household Items</v>
          </cell>
          <cell r="M2634">
            <v>-22.2</v>
          </cell>
        </row>
        <row r="2635">
          <cell r="L2635" t="str">
            <v>Eating Out</v>
          </cell>
          <cell r="M2635">
            <v>-26.662500000000001</v>
          </cell>
        </row>
        <row r="2636">
          <cell r="L2636" t="str">
            <v>Unknown</v>
          </cell>
          <cell r="M2636">
            <v>-287.52083333333331</v>
          </cell>
        </row>
        <row r="2637">
          <cell r="L2637" t="str">
            <v>Gifts</v>
          </cell>
          <cell r="M2637">
            <v>-87.300000000000011</v>
          </cell>
        </row>
        <row r="2638">
          <cell r="L2638" t="str">
            <v>Dont Account For</v>
          </cell>
          <cell r="M2638">
            <v>-33.333333333333336</v>
          </cell>
        </row>
        <row r="2639">
          <cell r="L2639" t="str">
            <v>Unknown</v>
          </cell>
          <cell r="M2639">
            <v>-100</v>
          </cell>
        </row>
        <row r="2640">
          <cell r="L2640" t="str">
            <v>Groceries</v>
          </cell>
          <cell r="M2640">
            <v>-76.8</v>
          </cell>
        </row>
        <row r="2641">
          <cell r="L2641" t="str">
            <v>Dont Account For</v>
          </cell>
          <cell r="M2641">
            <v>41.666666666666671</v>
          </cell>
        </row>
        <row r="2642">
          <cell r="L2642" t="str">
            <v>Dont Account For</v>
          </cell>
          <cell r="M2642">
            <v>41.666666666666671</v>
          </cell>
        </row>
        <row r="2643">
          <cell r="L2643" t="str">
            <v>Doctor</v>
          </cell>
          <cell r="M2643">
            <v>-72.308333333333337</v>
          </cell>
        </row>
        <row r="2644">
          <cell r="L2644" t="str">
            <v>Groceries</v>
          </cell>
          <cell r="M2644">
            <v>-70.0625</v>
          </cell>
        </row>
        <row r="2645">
          <cell r="L2645" t="str">
            <v>Chemist</v>
          </cell>
          <cell r="M2645">
            <v>-58.375</v>
          </cell>
        </row>
        <row r="2646">
          <cell r="L2646" t="str">
            <v>Eating Out</v>
          </cell>
          <cell r="M2646">
            <v>-53.900000000000006</v>
          </cell>
        </row>
        <row r="2647">
          <cell r="L2647" t="str">
            <v>Dont Account For</v>
          </cell>
          <cell r="M2647">
            <v>-5.44</v>
          </cell>
        </row>
        <row r="2648">
          <cell r="L2648" t="str">
            <v>Eating Out</v>
          </cell>
          <cell r="M2648">
            <v>-12.5</v>
          </cell>
        </row>
        <row r="2649">
          <cell r="L2649" t="str">
            <v>Unknown</v>
          </cell>
          <cell r="M2649">
            <v>-310</v>
          </cell>
        </row>
        <row r="2650">
          <cell r="L2650" t="str">
            <v>Dont Account For</v>
          </cell>
          <cell r="M2650">
            <v>-24</v>
          </cell>
        </row>
        <row r="2651">
          <cell r="L2651" t="str">
            <v>Dont Account For</v>
          </cell>
          <cell r="M2651">
            <v>24</v>
          </cell>
        </row>
        <row r="2652">
          <cell r="L2652" t="str">
            <v>Dont Account For</v>
          </cell>
          <cell r="M2652">
            <v>41.666666666666671</v>
          </cell>
        </row>
        <row r="2653">
          <cell r="L2653" t="str">
            <v>Dont Account For</v>
          </cell>
          <cell r="M2653">
            <v>-160</v>
          </cell>
        </row>
        <row r="2654">
          <cell r="L2654" t="str">
            <v>Bank Charges</v>
          </cell>
          <cell r="M2654">
            <v>-1.5</v>
          </cell>
        </row>
        <row r="2655">
          <cell r="L2655" t="str">
            <v>Department Store</v>
          </cell>
          <cell r="M2655">
            <v>-239.79583333333335</v>
          </cell>
        </row>
        <row r="2656">
          <cell r="L2656" t="str">
            <v>School Books</v>
          </cell>
          <cell r="M2656">
            <v>-50.662500000000001</v>
          </cell>
        </row>
        <row r="2657">
          <cell r="L2657" t="str">
            <v>Gifts</v>
          </cell>
          <cell r="M2657">
            <v>-99.154166666666669</v>
          </cell>
        </row>
        <row r="2658">
          <cell r="L2658" t="str">
            <v>Activities</v>
          </cell>
          <cell r="M2658">
            <v>-32.9375</v>
          </cell>
        </row>
        <row r="2659">
          <cell r="L2659" t="str">
            <v>Optus Mobile</v>
          </cell>
          <cell r="M2659">
            <v>-104.80416666666667</v>
          </cell>
        </row>
        <row r="2660">
          <cell r="L2660" t="str">
            <v>Optus Home Phone</v>
          </cell>
          <cell r="M2660">
            <v>-350.13750000000005</v>
          </cell>
        </row>
        <row r="2661">
          <cell r="L2661" t="str">
            <v>Unknown</v>
          </cell>
          <cell r="M2661">
            <v>-39.529166666666669</v>
          </cell>
        </row>
        <row r="2662">
          <cell r="L2662" t="str">
            <v>Regular Cost</v>
          </cell>
          <cell r="M2662">
            <v>-260.89583333333331</v>
          </cell>
        </row>
        <row r="2663">
          <cell r="L2663" t="str">
            <v>Dont Account For</v>
          </cell>
          <cell r="M2663">
            <v>41.666666666666671</v>
          </cell>
        </row>
        <row r="2664">
          <cell r="L2664" t="str">
            <v>Dont Account For</v>
          </cell>
          <cell r="M2664">
            <v>41.666666666666671</v>
          </cell>
        </row>
        <row r="2665">
          <cell r="L2665" t="str">
            <v>Department Store</v>
          </cell>
          <cell r="M2665">
            <v>-109.74583333333334</v>
          </cell>
        </row>
        <row r="2666">
          <cell r="L2666" t="str">
            <v>Department Store</v>
          </cell>
          <cell r="M2666">
            <v>-344</v>
          </cell>
        </row>
        <row r="2667">
          <cell r="L2667" t="str">
            <v>Chemist</v>
          </cell>
          <cell r="M2667">
            <v>-51.862500000000004</v>
          </cell>
        </row>
        <row r="2668">
          <cell r="L2668" t="str">
            <v>Groceries</v>
          </cell>
          <cell r="M2668">
            <v>-137.92916666666667</v>
          </cell>
        </row>
        <row r="2669">
          <cell r="L2669" t="str">
            <v>Regular Cost</v>
          </cell>
          <cell r="M2669">
            <v>-4010.5458333333331</v>
          </cell>
        </row>
        <row r="2670">
          <cell r="L2670" t="str">
            <v>Dont Account For</v>
          </cell>
          <cell r="M2670">
            <v>-145.27500000000001</v>
          </cell>
        </row>
        <row r="2671">
          <cell r="L2671" t="str">
            <v>Eating Out</v>
          </cell>
          <cell r="M2671">
            <v>-24.991666666666667</v>
          </cell>
        </row>
        <row r="2672">
          <cell r="L2672" t="str">
            <v>Autumn WaterSewage</v>
          </cell>
          <cell r="M2672">
            <v>-204.77500000000001</v>
          </cell>
        </row>
        <row r="2673">
          <cell r="L2673" t="str">
            <v>Dont Account For</v>
          </cell>
          <cell r="M2673">
            <v>-77.808333333333337</v>
          </cell>
        </row>
        <row r="2674">
          <cell r="L2674" t="str">
            <v>Medicare Refund</v>
          </cell>
          <cell r="M2674">
            <v>64.2</v>
          </cell>
        </row>
        <row r="2675">
          <cell r="L2675" t="str">
            <v>Uniforms</v>
          </cell>
          <cell r="M2675">
            <v>-90.708333333333329</v>
          </cell>
        </row>
        <row r="2676">
          <cell r="L2676" t="str">
            <v>Dont Account For</v>
          </cell>
          <cell r="M2676">
            <v>-200</v>
          </cell>
        </row>
        <row r="2677">
          <cell r="L2677" t="str">
            <v>Dont Account For</v>
          </cell>
          <cell r="M2677">
            <v>41.666666666666671</v>
          </cell>
        </row>
        <row r="2678">
          <cell r="L2678" t="str">
            <v>Wool</v>
          </cell>
          <cell r="M2678">
            <v>-218.5625</v>
          </cell>
        </row>
        <row r="2679">
          <cell r="L2679" t="str">
            <v>Gifts</v>
          </cell>
          <cell r="M2679">
            <v>-42.041666666666671</v>
          </cell>
        </row>
        <row r="2680">
          <cell r="L2680" t="str">
            <v>Petrol</v>
          </cell>
          <cell r="M2680">
            <v>-43.079166666666666</v>
          </cell>
        </row>
        <row r="2681">
          <cell r="L2681" t="str">
            <v>Dont Account For</v>
          </cell>
          <cell r="M2681">
            <v>-7.5</v>
          </cell>
        </row>
        <row r="2682">
          <cell r="L2682" t="str">
            <v>Dont Account For</v>
          </cell>
          <cell r="M2682">
            <v>-34.583333333333336</v>
          </cell>
        </row>
        <row r="2683">
          <cell r="L2683" t="str">
            <v>Dont Account For</v>
          </cell>
          <cell r="M2683">
            <v>-26.133333333333333</v>
          </cell>
        </row>
        <row r="2684">
          <cell r="L2684" t="str">
            <v>Dont Account For</v>
          </cell>
          <cell r="M2684">
            <v>-27.533333333333335</v>
          </cell>
        </row>
        <row r="2685">
          <cell r="L2685" t="str">
            <v>Dont Account For</v>
          </cell>
          <cell r="M2685">
            <v>-175.25000000000003</v>
          </cell>
        </row>
        <row r="2686">
          <cell r="L2686" t="str">
            <v>Dont Account For</v>
          </cell>
          <cell r="M2686">
            <v>14166.666666666668</v>
          </cell>
        </row>
        <row r="2687">
          <cell r="L2687" t="str">
            <v>Dont Account For</v>
          </cell>
          <cell r="M2687">
            <v>-158.75</v>
          </cell>
        </row>
        <row r="2688">
          <cell r="L2688" t="str">
            <v>Dont Account For</v>
          </cell>
          <cell r="M2688">
            <v>-179.16666666666669</v>
          </cell>
        </row>
        <row r="2689">
          <cell r="L2689" t="str">
            <v>Dont Account For</v>
          </cell>
          <cell r="M2689">
            <v>-26.133333333333333</v>
          </cell>
        </row>
        <row r="2690">
          <cell r="L2690" t="str">
            <v>Dont Account For</v>
          </cell>
          <cell r="M2690">
            <v>2083.3333333333335</v>
          </cell>
        </row>
        <row r="2691">
          <cell r="L2691" t="str">
            <v>Groceries</v>
          </cell>
          <cell r="M2691">
            <v>-22.879166666666666</v>
          </cell>
        </row>
        <row r="2692">
          <cell r="L2692" t="str">
            <v>Groceries</v>
          </cell>
          <cell r="M2692">
            <v>-58.591666666666669</v>
          </cell>
        </row>
        <row r="2693">
          <cell r="L2693" t="str">
            <v>Eating Out</v>
          </cell>
          <cell r="M2693">
            <v>-41.775000000000006</v>
          </cell>
        </row>
        <row r="2694">
          <cell r="L2694" t="str">
            <v>Holiday</v>
          </cell>
          <cell r="M2694">
            <v>-31.608333333333334</v>
          </cell>
        </row>
        <row r="2695">
          <cell r="L2695" t="str">
            <v>Regular Cost</v>
          </cell>
          <cell r="M2695">
            <v>-29.729166666666664</v>
          </cell>
        </row>
        <row r="2696">
          <cell r="L2696" t="str">
            <v>Regular Cost</v>
          </cell>
          <cell r="M2696">
            <v>-127.86250000000001</v>
          </cell>
        </row>
        <row r="2697">
          <cell r="L2697" t="str">
            <v>Minerva Rent</v>
          </cell>
          <cell r="M2697">
            <v>0</v>
          </cell>
        </row>
        <row r="2698">
          <cell r="L2698" t="str">
            <v>Minerva Rent</v>
          </cell>
          <cell r="M2698">
            <v>2794.12</v>
          </cell>
        </row>
        <row r="2699">
          <cell r="L2699" t="str">
            <v>Minerva Agent</v>
          </cell>
          <cell r="M2699">
            <v>-238.62</v>
          </cell>
        </row>
        <row r="2700">
          <cell r="L2700" t="str">
            <v>Bank Charges</v>
          </cell>
          <cell r="M2700">
            <v>-5</v>
          </cell>
        </row>
        <row r="2701">
          <cell r="L2701" t="str">
            <v>Bank Charges</v>
          </cell>
          <cell r="M2701">
            <v>-5</v>
          </cell>
        </row>
        <row r="2702">
          <cell r="L2702" t="str">
            <v>Regular Cost</v>
          </cell>
          <cell r="M2702">
            <v>-172.37</v>
          </cell>
        </row>
        <row r="2703">
          <cell r="L2703" t="str">
            <v>Bank Charges</v>
          </cell>
          <cell r="M2703">
            <v>-5</v>
          </cell>
        </row>
        <row r="2704">
          <cell r="L2704" t="str">
            <v>Regular Cost</v>
          </cell>
          <cell r="M2704">
            <v>-92.916666666666671</v>
          </cell>
        </row>
        <row r="2705">
          <cell r="L2705" t="str">
            <v>Optus Mobile</v>
          </cell>
          <cell r="M2705">
            <v>-96.041666666666671</v>
          </cell>
        </row>
        <row r="2706">
          <cell r="L2706" t="str">
            <v>Dont Account For</v>
          </cell>
          <cell r="M2706">
            <v>-52.083333333333336</v>
          </cell>
        </row>
        <row r="2707">
          <cell r="L2707" t="str">
            <v>Dont Account For</v>
          </cell>
          <cell r="M2707">
            <v>-129.16666666666669</v>
          </cell>
        </row>
        <row r="2708">
          <cell r="L2708" t="str">
            <v>Unknown</v>
          </cell>
          <cell r="M2708">
            <v>-208.33333333333334</v>
          </cell>
        </row>
        <row r="2709">
          <cell r="L2709" t="str">
            <v>Dont Account For</v>
          </cell>
          <cell r="M2709">
            <v>1020.8333333333334</v>
          </cell>
        </row>
        <row r="2710">
          <cell r="L2710" t="str">
            <v>Unknown</v>
          </cell>
          <cell r="M2710">
            <v>-1041.6666666666667</v>
          </cell>
        </row>
        <row r="2711">
          <cell r="L2711" t="str">
            <v>Dont Account For</v>
          </cell>
          <cell r="M2711">
            <v>-302.08333333333337</v>
          </cell>
        </row>
        <row r="2712">
          <cell r="L2712" t="str">
            <v>Dont Account For</v>
          </cell>
          <cell r="M2712">
            <v>-212.95833333333334</v>
          </cell>
        </row>
        <row r="2713">
          <cell r="L2713" t="str">
            <v>Dont Account For</v>
          </cell>
          <cell r="M2713">
            <v>-132.08333333333334</v>
          </cell>
        </row>
        <row r="2714">
          <cell r="L2714" t="str">
            <v>Unknown</v>
          </cell>
          <cell r="M2714">
            <v>-63.983333333333334</v>
          </cell>
        </row>
        <row r="2715">
          <cell r="L2715" t="str">
            <v>Wool</v>
          </cell>
          <cell r="M2715">
            <v>-22.258333333333336</v>
          </cell>
        </row>
        <row r="2716">
          <cell r="L2716" t="str">
            <v>Dont Account For</v>
          </cell>
          <cell r="M2716">
            <v>-50</v>
          </cell>
        </row>
        <row r="2717">
          <cell r="L2717" t="str">
            <v>Dont Account For</v>
          </cell>
          <cell r="M2717">
            <v>-500.83333333333337</v>
          </cell>
        </row>
        <row r="2718">
          <cell r="L2718" t="str">
            <v>Dont Account For</v>
          </cell>
          <cell r="M2718">
            <v>-70.625</v>
          </cell>
        </row>
        <row r="2719">
          <cell r="L2719" t="str">
            <v>Bank Charges</v>
          </cell>
          <cell r="M2719">
            <v>-166.66666666666669</v>
          </cell>
        </row>
        <row r="2720">
          <cell r="L2720" t="str">
            <v>Dont Account For</v>
          </cell>
          <cell r="M2720">
            <v>-58.562500000000007</v>
          </cell>
        </row>
        <row r="2721">
          <cell r="L2721" t="str">
            <v>Unknown</v>
          </cell>
          <cell r="M2721">
            <v>-50</v>
          </cell>
        </row>
        <row r="2722">
          <cell r="L2722" t="str">
            <v>Dont Account For</v>
          </cell>
          <cell r="M2722">
            <v>41.666666666666671</v>
          </cell>
        </row>
        <row r="2723">
          <cell r="L2723" t="str">
            <v>Dont Account For</v>
          </cell>
          <cell r="M2723">
            <v>166.66666666666669</v>
          </cell>
        </row>
        <row r="2724">
          <cell r="L2724" t="str">
            <v>Dont Account For</v>
          </cell>
          <cell r="M2724">
            <v>41.666666666666671</v>
          </cell>
        </row>
        <row r="2725">
          <cell r="L2725" t="str">
            <v>Dont Account For</v>
          </cell>
          <cell r="M2725">
            <v>41.666666666666671</v>
          </cell>
        </row>
        <row r="2726">
          <cell r="L2726" t="str">
            <v>Dont Account For</v>
          </cell>
          <cell r="M2726">
            <v>41.666666666666671</v>
          </cell>
        </row>
        <row r="2727">
          <cell r="L2727" t="str">
            <v>Dont Account For</v>
          </cell>
          <cell r="M2727">
            <v>41.666666666666671</v>
          </cell>
        </row>
        <row r="2728">
          <cell r="L2728" t="str">
            <v>Dont Account For</v>
          </cell>
          <cell r="M2728">
            <v>41.666666666666671</v>
          </cell>
        </row>
        <row r="2729">
          <cell r="L2729" t="str">
            <v>Dont Account For</v>
          </cell>
          <cell r="M2729">
            <v>41.666666666666671</v>
          </cell>
        </row>
        <row r="2730">
          <cell r="L2730" t="str">
            <v>Dont Account For</v>
          </cell>
          <cell r="M2730">
            <v>41.666666666666671</v>
          </cell>
        </row>
        <row r="2731">
          <cell r="L2731" t="str">
            <v>Dont Account For</v>
          </cell>
          <cell r="M2731">
            <v>41.666666666666671</v>
          </cell>
        </row>
        <row r="2732">
          <cell r="L2732" t="str">
            <v>Dont Account For</v>
          </cell>
          <cell r="M2732">
            <v>41.666666666666671</v>
          </cell>
        </row>
        <row r="2733">
          <cell r="L2733" t="str">
            <v>Dont Account For</v>
          </cell>
          <cell r="M2733">
            <v>-83.333333333333343</v>
          </cell>
        </row>
        <row r="2734">
          <cell r="L2734" t="str">
            <v>Dont Account For</v>
          </cell>
          <cell r="M2734">
            <v>-50</v>
          </cell>
        </row>
        <row r="2735">
          <cell r="L2735" t="str">
            <v>Bank Charges</v>
          </cell>
          <cell r="M2735">
            <v>-1.5</v>
          </cell>
        </row>
        <row r="2736">
          <cell r="L2736" t="str">
            <v>Dont Account For</v>
          </cell>
          <cell r="M2736">
            <v>41.666666666666671</v>
          </cell>
        </row>
        <row r="2737">
          <cell r="L2737" t="str">
            <v>Dont Account For</v>
          </cell>
          <cell r="M2737">
            <v>41.666666666666671</v>
          </cell>
        </row>
        <row r="2738">
          <cell r="L2738" t="str">
            <v>Dont Account For</v>
          </cell>
          <cell r="M2738">
            <v>-25</v>
          </cell>
        </row>
        <row r="2739">
          <cell r="L2739" t="str">
            <v>Regular Cost</v>
          </cell>
          <cell r="M2739">
            <v>-21.579166666666666</v>
          </cell>
        </row>
        <row r="2740">
          <cell r="L2740" t="str">
            <v>Dont Account For</v>
          </cell>
          <cell r="M2740">
            <v>-354.16666666666669</v>
          </cell>
        </row>
        <row r="2741">
          <cell r="L2741" t="str">
            <v>Dont Account For</v>
          </cell>
          <cell r="M2741">
            <v>41.666666666666671</v>
          </cell>
        </row>
        <row r="2742">
          <cell r="L2742" t="str">
            <v>Dont Account For</v>
          </cell>
          <cell r="M2742">
            <v>41.666666666666671</v>
          </cell>
        </row>
        <row r="2743">
          <cell r="L2743" t="str">
            <v>Dont Account For</v>
          </cell>
          <cell r="M2743">
            <v>41.666666666666671</v>
          </cell>
        </row>
        <row r="2744">
          <cell r="L2744" t="str">
            <v>Dont Account For</v>
          </cell>
          <cell r="M2744">
            <v>41.666666666666671</v>
          </cell>
        </row>
        <row r="2745">
          <cell r="L2745" t="str">
            <v>Eating Out</v>
          </cell>
          <cell r="M2745">
            <v>-27.383333333333333</v>
          </cell>
        </row>
        <row r="2746">
          <cell r="L2746" t="str">
            <v>Groceries</v>
          </cell>
          <cell r="M2746">
            <v>-153.53750000000002</v>
          </cell>
        </row>
        <row r="2747">
          <cell r="L2747" t="str">
            <v>Groceries</v>
          </cell>
          <cell r="M2747">
            <v>-79.629166666666677</v>
          </cell>
        </row>
        <row r="2748">
          <cell r="L2748" t="str">
            <v>Holiday</v>
          </cell>
          <cell r="M2748">
            <v>-193.39166666666668</v>
          </cell>
        </row>
        <row r="2749">
          <cell r="L2749" t="str">
            <v>Eating Out</v>
          </cell>
          <cell r="M2749">
            <v>-39.083333333333336</v>
          </cell>
        </row>
        <row r="2750">
          <cell r="L2750" t="str">
            <v>Unknown</v>
          </cell>
          <cell r="M2750">
            <v>-133.88333333333333</v>
          </cell>
        </row>
        <row r="2751">
          <cell r="L2751" t="str">
            <v>Dont Account For</v>
          </cell>
          <cell r="M2751">
            <v>166.66666666666669</v>
          </cell>
        </row>
        <row r="2752">
          <cell r="L2752" t="str">
            <v>Department Store</v>
          </cell>
          <cell r="M2752">
            <v>-104.075</v>
          </cell>
        </row>
        <row r="2753">
          <cell r="L2753" t="str">
            <v>Groceries</v>
          </cell>
          <cell r="M2753">
            <v>-105.9375</v>
          </cell>
        </row>
        <row r="2754">
          <cell r="L2754" t="str">
            <v>Dont Account For</v>
          </cell>
          <cell r="M2754">
            <v>-100</v>
          </cell>
        </row>
        <row r="2755">
          <cell r="L2755" t="str">
            <v>Bank Charges</v>
          </cell>
          <cell r="M2755">
            <v>-1.5</v>
          </cell>
        </row>
        <row r="2756">
          <cell r="L2756" t="str">
            <v>Clothing</v>
          </cell>
          <cell r="M2756">
            <v>-82.229166666666671</v>
          </cell>
        </row>
        <row r="2757">
          <cell r="L2757" t="str">
            <v>Groceries</v>
          </cell>
          <cell r="M2757">
            <v>-106.39166666666667</v>
          </cell>
        </row>
        <row r="2758">
          <cell r="L2758" t="str">
            <v>Eating Out</v>
          </cell>
          <cell r="M2758">
            <v>-83.941666666666677</v>
          </cell>
        </row>
        <row r="2759">
          <cell r="L2759" t="str">
            <v>Wool</v>
          </cell>
          <cell r="M2759">
            <v>-38.895833333333336</v>
          </cell>
        </row>
        <row r="2760">
          <cell r="L2760" t="str">
            <v>Eating Out</v>
          </cell>
          <cell r="M2760">
            <v>-65.924999999999997</v>
          </cell>
        </row>
        <row r="2761">
          <cell r="L2761" t="str">
            <v>Petrol</v>
          </cell>
          <cell r="M2761">
            <v>-35.366666666666667</v>
          </cell>
        </row>
        <row r="2762">
          <cell r="L2762" t="str">
            <v>Petrol</v>
          </cell>
          <cell r="M2762">
            <v>-74.57916666666668</v>
          </cell>
        </row>
        <row r="2763">
          <cell r="M2763">
            <v>-335.69166666666666</v>
          </cell>
        </row>
        <row r="2764">
          <cell r="L2764" t="str">
            <v>Optus Home Phone</v>
          </cell>
          <cell r="M2764">
            <v>-51.125</v>
          </cell>
        </row>
        <row r="2765">
          <cell r="L2765" t="str">
            <v>Groceries</v>
          </cell>
          <cell r="M2765">
            <v>-147.43333333333334</v>
          </cell>
        </row>
        <row r="2766">
          <cell r="L2766" t="str">
            <v>Doctor</v>
          </cell>
          <cell r="M2766">
            <v>-107.3</v>
          </cell>
        </row>
        <row r="2767">
          <cell r="L2767" t="str">
            <v>Unknown</v>
          </cell>
          <cell r="M2767">
            <v>-1000</v>
          </cell>
        </row>
        <row r="2768">
          <cell r="L2768" t="str">
            <v>Dont Account For</v>
          </cell>
          <cell r="M2768">
            <v>1000</v>
          </cell>
        </row>
        <row r="2769">
          <cell r="L2769" t="str">
            <v>Optus Mobile</v>
          </cell>
          <cell r="M2769">
            <v>-108.02500000000001</v>
          </cell>
        </row>
        <row r="2770">
          <cell r="L2770" t="str">
            <v>Optus Home Phone</v>
          </cell>
          <cell r="M2770">
            <v>-80.087500000000006</v>
          </cell>
        </row>
        <row r="2771">
          <cell r="L2771" t="str">
            <v>Groceries</v>
          </cell>
          <cell r="M2771">
            <v>-118.21666666666668</v>
          </cell>
        </row>
        <row r="2772">
          <cell r="L2772" t="str">
            <v>Dont Account For</v>
          </cell>
          <cell r="M2772">
            <v>-125</v>
          </cell>
        </row>
        <row r="2773">
          <cell r="L2773" t="str">
            <v>Dont Account For</v>
          </cell>
          <cell r="M2773">
            <v>41.666666666666671</v>
          </cell>
        </row>
        <row r="2774">
          <cell r="L2774" t="str">
            <v>Groceries</v>
          </cell>
          <cell r="M2774">
            <v>-69.016666666666666</v>
          </cell>
        </row>
        <row r="2775">
          <cell r="L2775" t="str">
            <v>Wool</v>
          </cell>
          <cell r="M2775">
            <v>-130.73750000000001</v>
          </cell>
        </row>
        <row r="2776">
          <cell r="L2776" t="str">
            <v>Regular Cost</v>
          </cell>
          <cell r="M2776">
            <v>-36.887500000000003</v>
          </cell>
        </row>
        <row r="2777">
          <cell r="L2777" t="str">
            <v>Regular Cost</v>
          </cell>
          <cell r="M2777">
            <v>-329.73750000000001</v>
          </cell>
        </row>
        <row r="2778">
          <cell r="L2778" t="str">
            <v>Eating Out</v>
          </cell>
          <cell r="M2778">
            <v>-64.57083333333334</v>
          </cell>
        </row>
        <row r="2779">
          <cell r="L2779" t="str">
            <v>Dont Account For</v>
          </cell>
          <cell r="M2779">
            <v>41.666666666666671</v>
          </cell>
        </row>
        <row r="2780">
          <cell r="L2780" t="str">
            <v>Dont Account For</v>
          </cell>
          <cell r="M2780">
            <v>41.666666666666671</v>
          </cell>
        </row>
        <row r="2781">
          <cell r="L2781" t="str">
            <v>Dont Account For</v>
          </cell>
          <cell r="M2781">
            <v>41.666666666666671</v>
          </cell>
        </row>
        <row r="2782">
          <cell r="L2782" t="str">
            <v>Dont Account For</v>
          </cell>
          <cell r="M2782">
            <v>41.666666666666671</v>
          </cell>
        </row>
        <row r="2783">
          <cell r="L2783" t="str">
            <v>Dont Account For</v>
          </cell>
          <cell r="M2783">
            <v>41.666666666666671</v>
          </cell>
        </row>
        <row r="2784">
          <cell r="L2784" t="str">
            <v>Dont Account For</v>
          </cell>
          <cell r="M2784">
            <v>41.666666666666671</v>
          </cell>
        </row>
        <row r="2785">
          <cell r="L2785" t="str">
            <v>Dont Account For</v>
          </cell>
          <cell r="M2785">
            <v>41.666666666666671</v>
          </cell>
        </row>
        <row r="2786">
          <cell r="L2786" t="str">
            <v>Dont Account For</v>
          </cell>
          <cell r="M2786">
            <v>-4.96</v>
          </cell>
        </row>
        <row r="2787">
          <cell r="L2787" t="str">
            <v>Dont Account For</v>
          </cell>
          <cell r="M2787">
            <v>-20</v>
          </cell>
        </row>
        <row r="2788">
          <cell r="L2788" t="str">
            <v>Groceries</v>
          </cell>
          <cell r="M2788">
            <v>-168.42</v>
          </cell>
        </row>
        <row r="2789">
          <cell r="L2789" t="str">
            <v>Dont Account For</v>
          </cell>
          <cell r="M2789">
            <v>41.666666666666671</v>
          </cell>
        </row>
        <row r="2790">
          <cell r="L2790" t="str">
            <v>Department Store</v>
          </cell>
          <cell r="M2790">
            <v>-42.112499999999997</v>
          </cell>
        </row>
        <row r="2791">
          <cell r="L2791" t="str">
            <v>Department Store</v>
          </cell>
          <cell r="M2791">
            <v>-59.3</v>
          </cell>
        </row>
        <row r="2792">
          <cell r="L2792" t="str">
            <v>Groceries</v>
          </cell>
          <cell r="M2792">
            <v>-35.420833333333334</v>
          </cell>
        </row>
        <row r="2793">
          <cell r="L2793" t="str">
            <v>Stationary</v>
          </cell>
          <cell r="M2793">
            <v>-308.4375</v>
          </cell>
        </row>
        <row r="2794">
          <cell r="L2794" t="str">
            <v>Dont Account For</v>
          </cell>
          <cell r="M2794">
            <v>2500</v>
          </cell>
        </row>
        <row r="2795">
          <cell r="L2795" t="str">
            <v>Chemist</v>
          </cell>
          <cell r="M2795">
            <v>-10.37</v>
          </cell>
        </row>
        <row r="2796">
          <cell r="L2796" t="str">
            <v>Unknown</v>
          </cell>
          <cell r="M2796">
            <v>-80</v>
          </cell>
        </row>
        <row r="2797">
          <cell r="L2797" t="str">
            <v>Bank Charges</v>
          </cell>
          <cell r="M2797">
            <v>-1.5</v>
          </cell>
        </row>
        <row r="2798">
          <cell r="L2798" t="str">
            <v>Unknown</v>
          </cell>
          <cell r="M2798">
            <v>-40.537500000000001</v>
          </cell>
        </row>
        <row r="2799">
          <cell r="L2799" t="str">
            <v>Unknown</v>
          </cell>
          <cell r="M2799">
            <v>-196.125</v>
          </cell>
        </row>
        <row r="2800">
          <cell r="L2800" t="str">
            <v>Department Store</v>
          </cell>
          <cell r="M2800">
            <v>-37.291666666666671</v>
          </cell>
        </row>
        <row r="2801">
          <cell r="L2801" t="str">
            <v>Department Store</v>
          </cell>
          <cell r="M2801">
            <v>-35.700000000000003</v>
          </cell>
        </row>
        <row r="2802">
          <cell r="L2802" t="str">
            <v>Regular Cost</v>
          </cell>
          <cell r="M2802">
            <v>-35.908333333333339</v>
          </cell>
        </row>
        <row r="2803">
          <cell r="L2803" t="str">
            <v>Dont Account For</v>
          </cell>
          <cell r="M2803">
            <v>41.666666666666671</v>
          </cell>
        </row>
        <row r="2804">
          <cell r="L2804" t="str">
            <v>Dont Account For</v>
          </cell>
          <cell r="M2804">
            <v>41.666666666666671</v>
          </cell>
        </row>
        <row r="2805">
          <cell r="L2805" t="str">
            <v>Dont Account For</v>
          </cell>
          <cell r="M2805">
            <v>41.666666666666671</v>
          </cell>
        </row>
        <row r="2806">
          <cell r="L2806" t="str">
            <v>Eating Out</v>
          </cell>
          <cell r="M2806">
            <v>-17.00416666666667</v>
          </cell>
        </row>
        <row r="2807">
          <cell r="L2807" t="str">
            <v>Activities</v>
          </cell>
          <cell r="M2807">
            <v>-44.658333333333339</v>
          </cell>
        </row>
        <row r="2808">
          <cell r="L2808" t="str">
            <v>Regular Cost</v>
          </cell>
          <cell r="M2808">
            <v>-9280.3708333333343</v>
          </cell>
        </row>
        <row r="2809">
          <cell r="L2809" t="str">
            <v>Unknown</v>
          </cell>
          <cell r="M2809">
            <v>-136.76666666666668</v>
          </cell>
        </row>
        <row r="2810">
          <cell r="L2810" t="str">
            <v>Dont Account For</v>
          </cell>
          <cell r="M2810">
            <v>-71.849999999999994</v>
          </cell>
        </row>
        <row r="2811">
          <cell r="L2811" t="str">
            <v>Unknown</v>
          </cell>
          <cell r="M2811">
            <v>-100</v>
          </cell>
        </row>
        <row r="2812">
          <cell r="L2812" t="str">
            <v>Unknown</v>
          </cell>
          <cell r="M2812">
            <v>-60</v>
          </cell>
        </row>
        <row r="2813">
          <cell r="L2813" t="str">
            <v>Dont Account For</v>
          </cell>
          <cell r="M2813">
            <v>41.666666666666671</v>
          </cell>
        </row>
        <row r="2814">
          <cell r="L2814" t="str">
            <v>Dont Account For</v>
          </cell>
          <cell r="M2814">
            <v>41.666666666666671</v>
          </cell>
        </row>
        <row r="2815">
          <cell r="L2815" t="str">
            <v>Dont Account For</v>
          </cell>
          <cell r="M2815">
            <v>41.666666666666671</v>
          </cell>
        </row>
        <row r="2816">
          <cell r="L2816" t="str">
            <v>Petrol</v>
          </cell>
          <cell r="M2816">
            <v>-39.112500000000004</v>
          </cell>
        </row>
        <row r="2817">
          <cell r="L2817" t="str">
            <v>Groceries</v>
          </cell>
          <cell r="M2817">
            <v>-100</v>
          </cell>
        </row>
        <row r="2818">
          <cell r="L2818" t="str">
            <v>Medicare Refund</v>
          </cell>
          <cell r="M2818">
            <v>42.5</v>
          </cell>
        </row>
        <row r="2819">
          <cell r="L2819" t="str">
            <v>Bank Charges</v>
          </cell>
          <cell r="M2819">
            <v>-1.5</v>
          </cell>
        </row>
        <row r="2820">
          <cell r="L2820" t="str">
            <v>Dont Account For</v>
          </cell>
          <cell r="M2820">
            <v>41.666666666666671</v>
          </cell>
        </row>
        <row r="2821">
          <cell r="L2821" t="str">
            <v>Dont Account For</v>
          </cell>
          <cell r="M2821">
            <v>41.666666666666671</v>
          </cell>
        </row>
        <row r="2822">
          <cell r="L2822" t="str">
            <v>Dont Account For</v>
          </cell>
          <cell r="M2822">
            <v>41.666666666666671</v>
          </cell>
        </row>
        <row r="2823">
          <cell r="L2823" t="str">
            <v>Dont Account For</v>
          </cell>
          <cell r="M2823">
            <v>41.666666666666671</v>
          </cell>
        </row>
        <row r="2824">
          <cell r="L2824" t="str">
            <v>Groceries</v>
          </cell>
          <cell r="M2824">
            <v>-19.583333333333336</v>
          </cell>
        </row>
        <row r="2825">
          <cell r="L2825" t="str">
            <v>Unknown</v>
          </cell>
          <cell r="M2825">
            <v>-50</v>
          </cell>
        </row>
        <row r="2826">
          <cell r="L2826" t="str">
            <v>Dont Account For</v>
          </cell>
          <cell r="M2826">
            <v>1125</v>
          </cell>
        </row>
        <row r="2827">
          <cell r="L2827" t="str">
            <v>Cinema</v>
          </cell>
          <cell r="M2827">
            <v>-48.016666666666666</v>
          </cell>
        </row>
        <row r="2828">
          <cell r="L2828" t="str">
            <v>Regular Cost</v>
          </cell>
          <cell r="M2828">
            <v>-128.80000000000001</v>
          </cell>
        </row>
        <row r="2829">
          <cell r="L2829" t="str">
            <v>Doctor</v>
          </cell>
          <cell r="M2829">
            <v>-100.02916666666667</v>
          </cell>
        </row>
        <row r="2830">
          <cell r="L2830" t="str">
            <v>Eating Out</v>
          </cell>
          <cell r="M2830">
            <v>-34.412500000000001</v>
          </cell>
        </row>
        <row r="2831">
          <cell r="L2831" t="str">
            <v>Eating Out</v>
          </cell>
          <cell r="M2831">
            <v>-16.804166666666667</v>
          </cell>
        </row>
        <row r="2832">
          <cell r="L2832" t="str">
            <v>Unknown</v>
          </cell>
          <cell r="M2832">
            <v>0</v>
          </cell>
        </row>
        <row r="2833">
          <cell r="L2833" t="str">
            <v>Minerva Rent</v>
          </cell>
          <cell r="M2833">
            <v>0</v>
          </cell>
        </row>
        <row r="2834">
          <cell r="L2834" t="str">
            <v>Minerva Rent</v>
          </cell>
          <cell r="M2834">
            <v>2794.12</v>
          </cell>
        </row>
        <row r="2835">
          <cell r="L2835" t="str">
            <v>Minerva Agent</v>
          </cell>
          <cell r="M2835">
            <v>-238.62</v>
          </cell>
        </row>
        <row r="2836">
          <cell r="L2836" t="str">
            <v>Bank Charges</v>
          </cell>
          <cell r="M2836">
            <v>-2</v>
          </cell>
        </row>
        <row r="2837">
          <cell r="L2837" t="str">
            <v>Regular Cost</v>
          </cell>
          <cell r="M2837">
            <v>-176.49</v>
          </cell>
        </row>
        <row r="2838">
          <cell r="L2838" t="str">
            <v>Bank Charges</v>
          </cell>
          <cell r="M2838">
            <v>-5</v>
          </cell>
        </row>
        <row r="2839">
          <cell r="L2839" t="str">
            <v>Groceries</v>
          </cell>
          <cell r="M2839">
            <v>-328.04583333333335</v>
          </cell>
        </row>
        <row r="2840">
          <cell r="L2840" t="str">
            <v>Unknown</v>
          </cell>
          <cell r="M2840">
            <v>-24.875000000000004</v>
          </cell>
        </row>
        <row r="2841">
          <cell r="L2841" t="str">
            <v>Petrol</v>
          </cell>
          <cell r="M2841">
            <v>-83.35</v>
          </cell>
        </row>
        <row r="2842">
          <cell r="L2842" t="str">
            <v>Cinema</v>
          </cell>
          <cell r="M2842">
            <v>-11.308333333333334</v>
          </cell>
        </row>
        <row r="2843">
          <cell r="L2843" t="str">
            <v>Dont Account For</v>
          </cell>
          <cell r="M2843">
            <v>41.666666666666671</v>
          </cell>
        </row>
        <row r="2844">
          <cell r="L2844" t="str">
            <v>Dont Account For</v>
          </cell>
          <cell r="M2844">
            <v>41.666666666666671</v>
          </cell>
        </row>
        <row r="2845">
          <cell r="L2845" t="str">
            <v>Dont Account For</v>
          </cell>
          <cell r="M2845">
            <v>41.666666666666671</v>
          </cell>
        </row>
        <row r="2846">
          <cell r="L2846" t="str">
            <v>Dont Account For</v>
          </cell>
          <cell r="M2846">
            <v>41.666666666666671</v>
          </cell>
        </row>
        <row r="2847">
          <cell r="L2847" t="str">
            <v>Dont Account For</v>
          </cell>
          <cell r="M2847">
            <v>125</v>
          </cell>
        </row>
        <row r="2848">
          <cell r="L2848" t="str">
            <v>Regular Cost</v>
          </cell>
          <cell r="M2848">
            <v>-92.916666666666671</v>
          </cell>
        </row>
        <row r="2849">
          <cell r="L2849" t="str">
            <v>Groceries</v>
          </cell>
          <cell r="M2849">
            <v>-142.53</v>
          </cell>
        </row>
        <row r="2850">
          <cell r="L2850" t="str">
            <v>Dont Account For</v>
          </cell>
          <cell r="M2850">
            <v>41.666666666666671</v>
          </cell>
        </row>
        <row r="2851">
          <cell r="L2851" t="str">
            <v>Dont Account For</v>
          </cell>
          <cell r="M2851">
            <v>-33.524999999999999</v>
          </cell>
        </row>
        <row r="2852">
          <cell r="L2852" t="str">
            <v>Unknown</v>
          </cell>
          <cell r="M2852">
            <v>-400</v>
          </cell>
        </row>
        <row r="2853">
          <cell r="L2853" t="str">
            <v>Dont Account For</v>
          </cell>
          <cell r="M2853">
            <v>41.666666666666671</v>
          </cell>
        </row>
        <row r="2854">
          <cell r="L2854" t="str">
            <v>Dont Account For</v>
          </cell>
          <cell r="M2854">
            <v>41.666666666666671</v>
          </cell>
        </row>
        <row r="2855">
          <cell r="L2855" t="str">
            <v>Dont Account For</v>
          </cell>
          <cell r="M2855">
            <v>41.666666666666671</v>
          </cell>
        </row>
        <row r="2856">
          <cell r="L2856" t="str">
            <v>Dont Account For</v>
          </cell>
          <cell r="M2856">
            <v>41.666666666666671</v>
          </cell>
        </row>
        <row r="2857">
          <cell r="L2857" t="str">
            <v>Dont Account For</v>
          </cell>
          <cell r="M2857">
            <v>0</v>
          </cell>
        </row>
        <row r="2858">
          <cell r="L2858" t="str">
            <v>Dont Account For</v>
          </cell>
          <cell r="M2858">
            <v>16202.083333333334</v>
          </cell>
        </row>
        <row r="2859">
          <cell r="L2859" t="str">
            <v>Dont Account For</v>
          </cell>
          <cell r="M2859">
            <v>1213.75</v>
          </cell>
        </row>
        <row r="2860">
          <cell r="L2860" t="str">
            <v>Dont Account For</v>
          </cell>
          <cell r="M2860">
            <v>-144.16666666666669</v>
          </cell>
        </row>
        <row r="2861">
          <cell r="L2861" t="str">
            <v>Dont Account For</v>
          </cell>
          <cell r="M2861">
            <v>-809.16666666666674</v>
          </cell>
        </row>
        <row r="2862">
          <cell r="L2862" t="str">
            <v>Dont Account For</v>
          </cell>
          <cell r="M2862">
            <v>-41.666666666666671</v>
          </cell>
        </row>
        <row r="2863">
          <cell r="L2863" t="str">
            <v>Dont Account For</v>
          </cell>
          <cell r="M2863">
            <v>-30.925000000000001</v>
          </cell>
        </row>
        <row r="2864">
          <cell r="L2864" t="str">
            <v>Dont Account For</v>
          </cell>
          <cell r="M2864">
            <v>-327.9375</v>
          </cell>
        </row>
        <row r="2865">
          <cell r="L2865" t="str">
            <v>Dont Account For</v>
          </cell>
          <cell r="M2865">
            <v>-483.33333333333337</v>
          </cell>
        </row>
        <row r="2866">
          <cell r="L2866" t="str">
            <v>Dont Account For</v>
          </cell>
          <cell r="M2866">
            <v>343.75</v>
          </cell>
        </row>
        <row r="2867">
          <cell r="L2867" t="str">
            <v>Dont Account For</v>
          </cell>
          <cell r="M2867">
            <v>-745.83333333333337</v>
          </cell>
        </row>
        <row r="2868">
          <cell r="L2868" t="str">
            <v>Dont Account For</v>
          </cell>
          <cell r="M2868">
            <v>-341.66666666666669</v>
          </cell>
        </row>
        <row r="2869">
          <cell r="L2869" t="str">
            <v>Dont Account For</v>
          </cell>
          <cell r="M2869">
            <v>-366.66666666666669</v>
          </cell>
        </row>
        <row r="2870">
          <cell r="L2870" t="str">
            <v>Dont Account For</v>
          </cell>
          <cell r="M2870">
            <v>-179.16666666666669</v>
          </cell>
        </row>
        <row r="2871">
          <cell r="L2871" t="str">
            <v>Dont Account For</v>
          </cell>
          <cell r="M2871">
            <v>-179.16666666666669</v>
          </cell>
        </row>
        <row r="2872">
          <cell r="L2872" t="str">
            <v>Dont Account For</v>
          </cell>
          <cell r="M2872">
            <v>-366.66666666666669</v>
          </cell>
        </row>
        <row r="2873">
          <cell r="L2873" t="str">
            <v>Dont Account For</v>
          </cell>
          <cell r="M2873">
            <v>1257.75</v>
          </cell>
        </row>
        <row r="2874">
          <cell r="L2874" t="str">
            <v>Medicare Refund</v>
          </cell>
          <cell r="M2874">
            <v>34.5</v>
          </cell>
        </row>
        <row r="2875">
          <cell r="L2875" t="str">
            <v>Dont Account For</v>
          </cell>
          <cell r="M2875">
            <v>41.666666666666671</v>
          </cell>
        </row>
        <row r="2876">
          <cell r="L2876" t="str">
            <v>Dont Account For</v>
          </cell>
          <cell r="M2876">
            <v>14041.666666666668</v>
          </cell>
        </row>
        <row r="2877">
          <cell r="L2877" t="str">
            <v>Groceries</v>
          </cell>
          <cell r="M2877">
            <v>-90.083333333333329</v>
          </cell>
        </row>
        <row r="2878">
          <cell r="L2878" t="str">
            <v>Unknown</v>
          </cell>
          <cell r="M2878">
            <v>-128.02500000000001</v>
          </cell>
        </row>
        <row r="2879">
          <cell r="L2879" t="str">
            <v>Eating Out</v>
          </cell>
          <cell r="M2879">
            <v>-40.216666666666669</v>
          </cell>
        </row>
        <row r="2880">
          <cell r="L2880" t="str">
            <v>Dont Account For</v>
          </cell>
          <cell r="M2880">
            <v>3458.3333333333335</v>
          </cell>
        </row>
        <row r="2881">
          <cell r="L2881" t="str">
            <v>Dont Account For</v>
          </cell>
          <cell r="M2881">
            <v>1000</v>
          </cell>
        </row>
        <row r="2882">
          <cell r="L2882" t="str">
            <v>Stationary</v>
          </cell>
          <cell r="M2882">
            <v>-32.104166666666664</v>
          </cell>
        </row>
        <row r="2883">
          <cell r="L2883" t="str">
            <v>Unknown</v>
          </cell>
          <cell r="M2883">
            <v>-28.150000000000002</v>
          </cell>
        </row>
        <row r="2884">
          <cell r="L2884" t="str">
            <v>Holiday</v>
          </cell>
          <cell r="M2884">
            <v>-121.64166666666667</v>
          </cell>
        </row>
        <row r="2885">
          <cell r="L2885" t="str">
            <v>Dont Account For</v>
          </cell>
          <cell r="M2885">
            <v>-525.45416666666665</v>
          </cell>
        </row>
        <row r="2886">
          <cell r="L2886" t="str">
            <v>Unknown</v>
          </cell>
          <cell r="M2886">
            <v>-26.583333333333332</v>
          </cell>
        </row>
        <row r="2887">
          <cell r="L2887" t="str">
            <v>Holiday</v>
          </cell>
          <cell r="M2887">
            <v>-55.366666666666667</v>
          </cell>
        </row>
        <row r="2888">
          <cell r="L2888" t="str">
            <v>Holiday</v>
          </cell>
          <cell r="M2888">
            <v>-23.637499999999999</v>
          </cell>
        </row>
        <row r="2889">
          <cell r="L2889" t="str">
            <v>Holiday</v>
          </cell>
          <cell r="M2889">
            <v>-147.66666666666666</v>
          </cell>
        </row>
        <row r="2890">
          <cell r="L2890" t="str">
            <v>Dont Account For</v>
          </cell>
          <cell r="M2890">
            <v>-100</v>
          </cell>
        </row>
        <row r="2891">
          <cell r="L2891" t="str">
            <v>Autumn Electricity</v>
          </cell>
          <cell r="M2891">
            <v>-420.64583333333331</v>
          </cell>
        </row>
        <row r="2892">
          <cell r="L2892" t="str">
            <v>Unknown</v>
          </cell>
          <cell r="M2892">
            <v>-66.779166666666669</v>
          </cell>
        </row>
        <row r="2893">
          <cell r="L2893" t="str">
            <v>Eating Out</v>
          </cell>
          <cell r="M2893">
            <v>-110.1875</v>
          </cell>
        </row>
        <row r="2894">
          <cell r="L2894" t="str">
            <v>Dont Account For</v>
          </cell>
          <cell r="M2894">
            <v>41.666666666666671</v>
          </cell>
        </row>
        <row r="2895">
          <cell r="L2895" t="str">
            <v>Eating Out</v>
          </cell>
          <cell r="M2895">
            <v>-24.283333333333335</v>
          </cell>
        </row>
        <row r="2896">
          <cell r="L2896" t="str">
            <v>Wool</v>
          </cell>
          <cell r="M2896">
            <v>-247.53750000000002</v>
          </cell>
        </row>
        <row r="2897">
          <cell r="L2897" t="str">
            <v>Clothing</v>
          </cell>
          <cell r="M2897">
            <v>-95.779166666666669</v>
          </cell>
        </row>
        <row r="2898">
          <cell r="L2898" t="str">
            <v>Books, Videos, Magazines</v>
          </cell>
          <cell r="M2898">
            <v>-93.012500000000003</v>
          </cell>
        </row>
        <row r="2899">
          <cell r="L2899" t="str">
            <v>Eating Out</v>
          </cell>
          <cell r="M2899">
            <v>-59.958333333333336</v>
          </cell>
        </row>
        <row r="2900">
          <cell r="L2900" t="str">
            <v>Books, Videos, Magazines</v>
          </cell>
          <cell r="M2900">
            <v>-39.970833333333339</v>
          </cell>
        </row>
        <row r="2901">
          <cell r="L2901" t="str">
            <v>Groceries</v>
          </cell>
          <cell r="M2901">
            <v>-212.04583333333335</v>
          </cell>
        </row>
        <row r="2902">
          <cell r="L2902" t="str">
            <v>Groceries</v>
          </cell>
          <cell r="M2902">
            <v>-55.8</v>
          </cell>
        </row>
        <row r="2903">
          <cell r="L2903" t="str">
            <v>Eating Out</v>
          </cell>
          <cell r="M2903">
            <v>-39.612499999999997</v>
          </cell>
        </row>
        <row r="2904">
          <cell r="L2904" t="str">
            <v>VOIP</v>
          </cell>
          <cell r="M2904">
            <v>-75.037500000000009</v>
          </cell>
        </row>
        <row r="2905">
          <cell r="L2905" t="str">
            <v>Dont Account For</v>
          </cell>
          <cell r="M2905">
            <v>-108</v>
          </cell>
        </row>
        <row r="2906">
          <cell r="L2906" t="str">
            <v>Unknown</v>
          </cell>
          <cell r="M2906">
            <v>-50</v>
          </cell>
        </row>
        <row r="2907">
          <cell r="L2907" t="str">
            <v>Unknown</v>
          </cell>
          <cell r="M2907">
            <v>-250</v>
          </cell>
        </row>
        <row r="2908">
          <cell r="L2908" t="str">
            <v>Doctor</v>
          </cell>
          <cell r="M2908">
            <v>-57.945833333333333</v>
          </cell>
        </row>
        <row r="2909">
          <cell r="L2909" t="str">
            <v>Groceries</v>
          </cell>
          <cell r="M2909">
            <v>-35.291666666666671</v>
          </cell>
        </row>
        <row r="2910">
          <cell r="L2910" t="str">
            <v>Groceries</v>
          </cell>
          <cell r="M2910">
            <v>-35.212500000000006</v>
          </cell>
        </row>
        <row r="2911">
          <cell r="L2911" t="str">
            <v>Petrol</v>
          </cell>
          <cell r="M2911">
            <v>-89.825000000000003</v>
          </cell>
        </row>
        <row r="2912">
          <cell r="L2912" t="str">
            <v>Holiday</v>
          </cell>
          <cell r="M2912">
            <v>-80.462500000000006</v>
          </cell>
        </row>
        <row r="2913">
          <cell r="L2913" t="str">
            <v>Holiday</v>
          </cell>
          <cell r="M2913">
            <v>-21.870833333333334</v>
          </cell>
        </row>
        <row r="2914">
          <cell r="L2914" t="str">
            <v>Holiday</v>
          </cell>
          <cell r="M2914">
            <v>-35.245833333333337</v>
          </cell>
        </row>
        <row r="2915">
          <cell r="L2915" t="str">
            <v>Holiday</v>
          </cell>
          <cell r="M2915">
            <v>-13.066666666666666</v>
          </cell>
        </row>
        <row r="2916">
          <cell r="L2916" t="str">
            <v>Holiday</v>
          </cell>
          <cell r="M2916">
            <v>-82.737499999999997</v>
          </cell>
        </row>
        <row r="2917">
          <cell r="L2917" t="str">
            <v>Groceries</v>
          </cell>
          <cell r="M2917">
            <v>-54.391666666666666</v>
          </cell>
        </row>
        <row r="2918">
          <cell r="L2918" t="str">
            <v>Eating Out</v>
          </cell>
          <cell r="M2918">
            <v>-34.5</v>
          </cell>
        </row>
        <row r="2919">
          <cell r="L2919" t="str">
            <v>Optus Mobile</v>
          </cell>
          <cell r="M2919">
            <v>-173.1</v>
          </cell>
        </row>
        <row r="2920">
          <cell r="L2920" t="str">
            <v>Dont Account For</v>
          </cell>
          <cell r="M2920">
            <v>-41.462500000000006</v>
          </cell>
        </row>
        <row r="2921">
          <cell r="L2921" t="str">
            <v>Eating Out</v>
          </cell>
          <cell r="M2921">
            <v>-56.975000000000009</v>
          </cell>
        </row>
        <row r="2922">
          <cell r="L2922" t="str">
            <v>Gifts</v>
          </cell>
          <cell r="M2922">
            <v>-101.3875</v>
          </cell>
        </row>
        <row r="2923">
          <cell r="L2923" t="str">
            <v>Unknown</v>
          </cell>
          <cell r="M2923">
            <v>-85</v>
          </cell>
        </row>
        <row r="2924">
          <cell r="L2924" t="str">
            <v>Groceries</v>
          </cell>
          <cell r="M2924">
            <v>-135.82500000000002</v>
          </cell>
        </row>
        <row r="2925">
          <cell r="L2925" t="str">
            <v>Cinema</v>
          </cell>
          <cell r="M2925">
            <v>-33.44166666666667</v>
          </cell>
        </row>
        <row r="2926">
          <cell r="L2926" t="str">
            <v>Wool</v>
          </cell>
          <cell r="M2926">
            <v>-143.05416666666667</v>
          </cell>
        </row>
        <row r="2927">
          <cell r="L2927" t="str">
            <v>Optus Home Phone</v>
          </cell>
          <cell r="M2927">
            <v>-154.84583333333333</v>
          </cell>
        </row>
        <row r="2928">
          <cell r="L2928" t="str">
            <v>Eating Out</v>
          </cell>
          <cell r="M2928">
            <v>-144.30416666666667</v>
          </cell>
        </row>
        <row r="2929">
          <cell r="L2929" t="str">
            <v>Medicare Refund</v>
          </cell>
          <cell r="M2929">
            <v>25.1</v>
          </cell>
        </row>
        <row r="2930">
          <cell r="L2930" t="str">
            <v>Chemist</v>
          </cell>
          <cell r="M2930">
            <v>-41.679166666666667</v>
          </cell>
        </row>
        <row r="2931">
          <cell r="L2931" t="str">
            <v>Groceries</v>
          </cell>
          <cell r="M2931">
            <v>-91.529166666666669</v>
          </cell>
        </row>
        <row r="2932">
          <cell r="L2932" t="str">
            <v>Groceries</v>
          </cell>
          <cell r="M2932">
            <v>-19.075000000000003</v>
          </cell>
        </row>
        <row r="2933">
          <cell r="L2933" t="str">
            <v>Clothing</v>
          </cell>
          <cell r="M2933">
            <v>-372.71250000000003</v>
          </cell>
        </row>
        <row r="2934">
          <cell r="L2934" t="str">
            <v>Petrol</v>
          </cell>
          <cell r="M2934">
            <v>-87.845833333333346</v>
          </cell>
        </row>
        <row r="2935">
          <cell r="L2935" t="str">
            <v>Eating Out</v>
          </cell>
          <cell r="M2935">
            <v>-31.1875</v>
          </cell>
        </row>
        <row r="2936">
          <cell r="L2936" t="str">
            <v>Doctor</v>
          </cell>
          <cell r="M2936">
            <v>-62.745833333333337</v>
          </cell>
        </row>
        <row r="2937">
          <cell r="L2937" t="str">
            <v>Eating Out</v>
          </cell>
          <cell r="M2937">
            <v>-16.816666666666666</v>
          </cell>
        </row>
        <row r="2938">
          <cell r="L2938" t="str">
            <v>Regular Cost</v>
          </cell>
          <cell r="M2938">
            <v>-32.62916666666667</v>
          </cell>
        </row>
        <row r="2939">
          <cell r="L2939" t="str">
            <v>Eating Out</v>
          </cell>
          <cell r="M2939">
            <v>-136.49166666666667</v>
          </cell>
        </row>
        <row r="2940">
          <cell r="L2940" t="str">
            <v>Eating Out</v>
          </cell>
          <cell r="M2940">
            <v>-40.25416666666667</v>
          </cell>
        </row>
        <row r="2941">
          <cell r="L2941" t="str">
            <v>Minerva Agent</v>
          </cell>
          <cell r="M2941">
            <v>-107.67916666666667</v>
          </cell>
        </row>
        <row r="2942">
          <cell r="L2942" t="str">
            <v>Unknown</v>
          </cell>
          <cell r="M2942">
            <v>-16.649999999999999</v>
          </cell>
        </row>
        <row r="2943">
          <cell r="L2943" t="str">
            <v>Cinema</v>
          </cell>
          <cell r="M2943">
            <v>-40</v>
          </cell>
        </row>
        <row r="2944">
          <cell r="L2944" t="str">
            <v>Bank Charges</v>
          </cell>
          <cell r="M2944">
            <v>-1.5</v>
          </cell>
        </row>
        <row r="2945">
          <cell r="L2945" t="str">
            <v>Stationary</v>
          </cell>
          <cell r="M2945">
            <v>-187.76250000000002</v>
          </cell>
        </row>
        <row r="2946">
          <cell r="L2946" t="str">
            <v>Groceries</v>
          </cell>
          <cell r="M2946">
            <v>-96.69583333333334</v>
          </cell>
        </row>
        <row r="2947">
          <cell r="L2947" t="str">
            <v>Unknown</v>
          </cell>
          <cell r="M2947">
            <v>-27.787500000000001</v>
          </cell>
        </row>
        <row r="2948">
          <cell r="L2948" t="str">
            <v>Chemist</v>
          </cell>
          <cell r="M2948">
            <v>-26.162500000000001</v>
          </cell>
        </row>
        <row r="2949">
          <cell r="L2949" t="str">
            <v>Cinema</v>
          </cell>
          <cell r="M2949">
            <v>-21.283333333333335</v>
          </cell>
        </row>
        <row r="2950">
          <cell r="L2950" t="str">
            <v>Clothing</v>
          </cell>
          <cell r="M2950">
            <v>-570.98749999999995</v>
          </cell>
        </row>
        <row r="2951">
          <cell r="L2951" t="str">
            <v>Unknown</v>
          </cell>
          <cell r="M2951">
            <v>-95.1875</v>
          </cell>
        </row>
        <row r="2952">
          <cell r="L2952" t="str">
            <v>Eating Out</v>
          </cell>
          <cell r="M2952">
            <v>-72.770833333333343</v>
          </cell>
        </row>
        <row r="2953">
          <cell r="L2953" t="str">
            <v>Dont Account For</v>
          </cell>
          <cell r="M2953">
            <v>-25</v>
          </cell>
        </row>
        <row r="2954">
          <cell r="L2954" t="str">
            <v>Dont Account For</v>
          </cell>
          <cell r="M2954">
            <v>-15</v>
          </cell>
        </row>
        <row r="2955">
          <cell r="L2955" t="str">
            <v>Dont Account For</v>
          </cell>
          <cell r="M2955">
            <v>-50</v>
          </cell>
        </row>
        <row r="2956">
          <cell r="L2956" t="str">
            <v>Bank Charges</v>
          </cell>
          <cell r="M2956">
            <v>-1.5</v>
          </cell>
        </row>
        <row r="2957">
          <cell r="L2957" t="str">
            <v>Eating Out</v>
          </cell>
          <cell r="M2957">
            <v>-51.166666666666664</v>
          </cell>
        </row>
        <row r="2958">
          <cell r="L2958" t="str">
            <v>Eating Out</v>
          </cell>
          <cell r="M2958">
            <v>-136.92500000000001</v>
          </cell>
        </row>
        <row r="2959">
          <cell r="L2959" t="str">
            <v>Regular Cost</v>
          </cell>
          <cell r="M2959">
            <v>-347.61666666666667</v>
          </cell>
        </row>
        <row r="2960">
          <cell r="L2960" t="str">
            <v>Regular Cost</v>
          </cell>
          <cell r="M2960">
            <v>-268.56666666666666</v>
          </cell>
        </row>
        <row r="2961">
          <cell r="L2961" t="str">
            <v>Groceries</v>
          </cell>
          <cell r="M2961">
            <v>-133.94166666666666</v>
          </cell>
        </row>
        <row r="2962">
          <cell r="L2962" t="str">
            <v>Dont Account For</v>
          </cell>
          <cell r="M2962">
            <v>-19.166666666666668</v>
          </cell>
        </row>
        <row r="2963">
          <cell r="L2963" t="str">
            <v>Dont Account For</v>
          </cell>
          <cell r="M2963">
            <v>-28.087499999999999</v>
          </cell>
        </row>
        <row r="2964">
          <cell r="L2964" t="str">
            <v>Dont Account For</v>
          </cell>
          <cell r="M2964">
            <v>-27.95</v>
          </cell>
        </row>
        <row r="2965">
          <cell r="L2965" t="str">
            <v>Dont Account For</v>
          </cell>
          <cell r="M2965">
            <v>-10</v>
          </cell>
        </row>
        <row r="2966">
          <cell r="L2966" t="str">
            <v>Dont Account For</v>
          </cell>
          <cell r="M2966">
            <v>-116.25</v>
          </cell>
        </row>
        <row r="2967">
          <cell r="L2967" t="str">
            <v>Dont Account For</v>
          </cell>
          <cell r="M2967">
            <v>-150</v>
          </cell>
        </row>
        <row r="2968">
          <cell r="L2968" t="str">
            <v>Bank Charges</v>
          </cell>
          <cell r="M2968">
            <v>-1.5</v>
          </cell>
        </row>
        <row r="2969">
          <cell r="L2969" t="str">
            <v>Household Items</v>
          </cell>
          <cell r="M2969">
            <v>-95.92916666666666</v>
          </cell>
        </row>
        <row r="2970">
          <cell r="L2970" t="str">
            <v>Groceries</v>
          </cell>
          <cell r="M2970">
            <v>-26.595833333333335</v>
          </cell>
        </row>
        <row r="2971">
          <cell r="L2971" t="str">
            <v>Unknown</v>
          </cell>
          <cell r="M2971">
            <v>-346.29583333333335</v>
          </cell>
        </row>
        <row r="2972">
          <cell r="L2972" t="str">
            <v>Groceries</v>
          </cell>
          <cell r="M2972">
            <v>-41.533333333333339</v>
          </cell>
        </row>
        <row r="2973">
          <cell r="L2973" t="str">
            <v>Unknown</v>
          </cell>
          <cell r="M2973">
            <v>-42.829166666666673</v>
          </cell>
        </row>
        <row r="2974">
          <cell r="L2974" t="str">
            <v>Unknown</v>
          </cell>
          <cell r="M2974">
            <v>-97.341666666666669</v>
          </cell>
        </row>
        <row r="2975">
          <cell r="L2975" t="str">
            <v>Eating Out</v>
          </cell>
          <cell r="M2975">
            <v>-31.279166666666665</v>
          </cell>
        </row>
        <row r="2976">
          <cell r="L2976" t="str">
            <v>Groceries</v>
          </cell>
          <cell r="M2976">
            <v>-127.62083333333335</v>
          </cell>
        </row>
        <row r="2977">
          <cell r="L2977" t="str">
            <v>Wool</v>
          </cell>
          <cell r="M2977">
            <v>-34.979166666666671</v>
          </cell>
        </row>
        <row r="2978">
          <cell r="L2978" t="str">
            <v>Unknown</v>
          </cell>
          <cell r="M2978">
            <v>-47.087500000000006</v>
          </cell>
        </row>
        <row r="2979">
          <cell r="L2979" t="str">
            <v>Unknown</v>
          </cell>
          <cell r="M2979">
            <v>-37.637500000000003</v>
          </cell>
        </row>
        <row r="2980">
          <cell r="L2980" t="str">
            <v>Regular Cost</v>
          </cell>
          <cell r="M2980">
            <v>-125.33333333333334</v>
          </cell>
        </row>
        <row r="2981">
          <cell r="L2981" t="str">
            <v>Dont Account For</v>
          </cell>
          <cell r="M2981">
            <v>-59.166666666666671</v>
          </cell>
        </row>
        <row r="2982">
          <cell r="L2982" t="str">
            <v>Dont Account For</v>
          </cell>
          <cell r="M2982">
            <v>6333.3333333333339</v>
          </cell>
        </row>
        <row r="2983">
          <cell r="L2983" t="str">
            <v>Eating Out</v>
          </cell>
          <cell r="M2983">
            <v>-118.8875</v>
          </cell>
        </row>
        <row r="2984">
          <cell r="L2984" t="str">
            <v>Dont Account For</v>
          </cell>
          <cell r="M2984">
            <v>6125</v>
          </cell>
        </row>
        <row r="2985">
          <cell r="L2985" t="str">
            <v>Unknown</v>
          </cell>
          <cell r="M2985">
            <v>-250</v>
          </cell>
        </row>
        <row r="2986">
          <cell r="L2986" t="str">
            <v>Unknown</v>
          </cell>
          <cell r="M2986">
            <v>-80</v>
          </cell>
        </row>
        <row r="2987">
          <cell r="L2987" t="str">
            <v>Dont Account For</v>
          </cell>
          <cell r="M2987">
            <v>250</v>
          </cell>
        </row>
        <row r="2988">
          <cell r="L2988" t="str">
            <v>Regular Cost</v>
          </cell>
          <cell r="M2988">
            <v>-164.58333333333334</v>
          </cell>
        </row>
        <row r="2989">
          <cell r="L2989" t="str">
            <v>Minerva Rent</v>
          </cell>
          <cell r="M2989">
            <v>0</v>
          </cell>
        </row>
        <row r="2990">
          <cell r="L2990" t="str">
            <v>Minerva Rent</v>
          </cell>
          <cell r="M2990">
            <v>2794.12</v>
          </cell>
        </row>
        <row r="2991">
          <cell r="L2991" t="str">
            <v>Minerva Agent</v>
          </cell>
          <cell r="M2991">
            <v>-238.62</v>
          </cell>
        </row>
        <row r="2992">
          <cell r="L2992" t="str">
            <v>Unknown</v>
          </cell>
          <cell r="M2992">
            <v>-60</v>
          </cell>
        </row>
        <row r="2993">
          <cell r="L2993" t="str">
            <v>Petrol</v>
          </cell>
          <cell r="M2993">
            <v>-79.420833333333348</v>
          </cell>
        </row>
        <row r="2994">
          <cell r="L2994" t="str">
            <v>Clothing</v>
          </cell>
          <cell r="M2994">
            <v>-125.92083333333333</v>
          </cell>
        </row>
        <row r="2995">
          <cell r="L2995" t="str">
            <v>Dont Account For</v>
          </cell>
          <cell r="M2995">
            <v>708.33333333333337</v>
          </cell>
        </row>
        <row r="2996">
          <cell r="L2996" t="str">
            <v>Bank Charges</v>
          </cell>
          <cell r="M2996">
            <v>-2.75</v>
          </cell>
        </row>
        <row r="2997">
          <cell r="L2997" t="str">
            <v>Dont Account For</v>
          </cell>
          <cell r="M2997">
            <v>-20.833333333333336</v>
          </cell>
        </row>
        <row r="2998">
          <cell r="L2998" t="str">
            <v>Dont Account For</v>
          </cell>
          <cell r="M2998">
            <v>-245.83333333333334</v>
          </cell>
        </row>
        <row r="2999">
          <cell r="L2999" t="str">
            <v>Unknown</v>
          </cell>
          <cell r="M2999">
            <v>-500</v>
          </cell>
        </row>
        <row r="3000">
          <cell r="L3000" t="str">
            <v>Uniforms</v>
          </cell>
          <cell r="M3000">
            <v>-79.995833333333337</v>
          </cell>
        </row>
        <row r="3001">
          <cell r="L3001" t="str">
            <v>Medicare Refund</v>
          </cell>
          <cell r="M3001">
            <v>42.5</v>
          </cell>
        </row>
        <row r="3002">
          <cell r="L3002" t="str">
            <v>Bank Charges</v>
          </cell>
          <cell r="M3002">
            <v>-2</v>
          </cell>
        </row>
        <row r="3003">
          <cell r="L3003" t="str">
            <v>Regular Cost</v>
          </cell>
          <cell r="M3003">
            <v>-180.97</v>
          </cell>
        </row>
        <row r="3004">
          <cell r="L3004" t="str">
            <v>Dont Account For</v>
          </cell>
          <cell r="M3004">
            <v>0.02</v>
          </cell>
        </row>
        <row r="3005">
          <cell r="L3005" t="str">
            <v>Bank Charges</v>
          </cell>
          <cell r="M3005">
            <v>-5</v>
          </cell>
        </row>
        <row r="3006">
          <cell r="L3006" t="str">
            <v>Dont Account For</v>
          </cell>
          <cell r="M3006">
            <v>500</v>
          </cell>
        </row>
        <row r="3007">
          <cell r="L3007" t="str">
            <v>Eating Out</v>
          </cell>
          <cell r="M3007">
            <v>-50.016666666666673</v>
          </cell>
        </row>
        <row r="3008">
          <cell r="L3008" t="str">
            <v>Unknown</v>
          </cell>
          <cell r="M3008">
            <v>-62.929166666666667</v>
          </cell>
        </row>
        <row r="3009">
          <cell r="L3009" t="str">
            <v>Unknown</v>
          </cell>
          <cell r="M3009">
            <v>-100.65833333333335</v>
          </cell>
        </row>
        <row r="3010">
          <cell r="L3010" t="str">
            <v>Groceries</v>
          </cell>
          <cell r="M3010">
            <v>-152.97083333333333</v>
          </cell>
        </row>
        <row r="3011">
          <cell r="L3011" t="str">
            <v>Groceries</v>
          </cell>
          <cell r="M3011">
            <v>-163.18333333333334</v>
          </cell>
        </row>
        <row r="3012">
          <cell r="L3012" t="str">
            <v>Groceries</v>
          </cell>
          <cell r="M3012">
            <v>-218.20833333333337</v>
          </cell>
        </row>
        <row r="3013">
          <cell r="L3013" t="str">
            <v>Eating Out</v>
          </cell>
          <cell r="M3013">
            <v>-27.483333333333331</v>
          </cell>
        </row>
        <row r="3014">
          <cell r="L3014" t="str">
            <v>Doctor</v>
          </cell>
          <cell r="M3014">
            <v>-95.404166666666669</v>
          </cell>
        </row>
        <row r="3015">
          <cell r="L3015" t="str">
            <v>Department Store</v>
          </cell>
          <cell r="M3015">
            <v>-84.395833333333343</v>
          </cell>
        </row>
        <row r="3016">
          <cell r="L3016" t="str">
            <v>Regular Cost</v>
          </cell>
          <cell r="M3016">
            <v>-88.970833333333331</v>
          </cell>
        </row>
        <row r="3017">
          <cell r="L3017" t="str">
            <v>Wool</v>
          </cell>
          <cell r="M3017">
            <v>-34.35</v>
          </cell>
        </row>
        <row r="3018">
          <cell r="L3018" t="str">
            <v>Wool</v>
          </cell>
          <cell r="M3018">
            <v>-94.208333333333329</v>
          </cell>
        </row>
        <row r="3019">
          <cell r="L3019" t="str">
            <v>Household Items</v>
          </cell>
          <cell r="M3019">
            <v>-10</v>
          </cell>
        </row>
        <row r="3020">
          <cell r="L3020" t="str">
            <v>Dont Account For</v>
          </cell>
          <cell r="M3020">
            <v>-2986.6708333333336</v>
          </cell>
        </row>
        <row r="3021">
          <cell r="L3021" t="str">
            <v>Dont Account For</v>
          </cell>
          <cell r="M3021">
            <v>-136.66666666666669</v>
          </cell>
        </row>
        <row r="3022">
          <cell r="L3022" t="str">
            <v>Books, Videos, Magazines</v>
          </cell>
          <cell r="M3022">
            <v>-78.525000000000006</v>
          </cell>
        </row>
        <row r="3023">
          <cell r="L3023" t="str">
            <v>Wool</v>
          </cell>
          <cell r="M3023">
            <v>-78.195833333333326</v>
          </cell>
        </row>
        <row r="3024">
          <cell r="L3024" t="str">
            <v>Unknown</v>
          </cell>
          <cell r="M3024">
            <v>-122.8875</v>
          </cell>
        </row>
        <row r="3025">
          <cell r="L3025" t="str">
            <v>Dont Account For</v>
          </cell>
          <cell r="M3025">
            <v>-21.954166666666666</v>
          </cell>
        </row>
        <row r="3026">
          <cell r="L3026" t="str">
            <v>Autumn Gas</v>
          </cell>
          <cell r="M3026">
            <v>-408.77499999999998</v>
          </cell>
        </row>
        <row r="3027">
          <cell r="L3027" t="str">
            <v>Unknown</v>
          </cell>
          <cell r="M3027">
            <v>-286.43333333333339</v>
          </cell>
        </row>
        <row r="3028">
          <cell r="L3028" t="str">
            <v>Unknown</v>
          </cell>
          <cell r="M3028">
            <v>-128.07916666666665</v>
          </cell>
        </row>
        <row r="3029">
          <cell r="L3029" t="str">
            <v>Dont Account For</v>
          </cell>
          <cell r="M3029">
            <v>-102.25416666666666</v>
          </cell>
        </row>
        <row r="3030">
          <cell r="L3030" t="str">
            <v>Unknown</v>
          </cell>
          <cell r="M3030">
            <v>-200</v>
          </cell>
        </row>
        <row r="3031">
          <cell r="L3031" t="str">
            <v>Groceries</v>
          </cell>
          <cell r="M3031">
            <v>-40.75</v>
          </cell>
        </row>
        <row r="3032">
          <cell r="L3032" t="str">
            <v>Dont Account For</v>
          </cell>
          <cell r="M3032">
            <v>-53.908333333333331</v>
          </cell>
        </row>
        <row r="3033">
          <cell r="L3033" t="str">
            <v>Groceries</v>
          </cell>
          <cell r="M3033">
            <v>-96.162499999999994</v>
          </cell>
        </row>
        <row r="3034">
          <cell r="L3034" t="str">
            <v>Household Items</v>
          </cell>
          <cell r="M3034">
            <v>-10</v>
          </cell>
        </row>
        <row r="3035">
          <cell r="L3035" t="str">
            <v>Minerva WaterSewage</v>
          </cell>
          <cell r="M3035">
            <v>-143.27916666666667</v>
          </cell>
        </row>
        <row r="3036">
          <cell r="L3036" t="str">
            <v>Dont Account For</v>
          </cell>
          <cell r="M3036">
            <v>-21.670833333333334</v>
          </cell>
        </row>
        <row r="3037">
          <cell r="L3037" t="str">
            <v>Wool</v>
          </cell>
          <cell r="M3037">
            <v>-497.70416666666671</v>
          </cell>
        </row>
        <row r="3038">
          <cell r="L3038" t="str">
            <v>Holiday</v>
          </cell>
          <cell r="M3038">
            <v>-16.850000000000001</v>
          </cell>
        </row>
        <row r="3039">
          <cell r="L3039" t="str">
            <v>Groceries</v>
          </cell>
          <cell r="M3039">
            <v>-167.83333333333334</v>
          </cell>
        </row>
        <row r="3040">
          <cell r="L3040" t="str">
            <v>Eating Out</v>
          </cell>
          <cell r="M3040">
            <v>-76.57083333333334</v>
          </cell>
        </row>
        <row r="3041">
          <cell r="L3041" t="str">
            <v>Chemist</v>
          </cell>
          <cell r="M3041">
            <v>-8.4</v>
          </cell>
        </row>
        <row r="3042">
          <cell r="L3042" t="str">
            <v>Unknown</v>
          </cell>
          <cell r="M3042">
            <v>-38</v>
          </cell>
        </row>
        <row r="3043">
          <cell r="L3043" t="str">
            <v>Holiday</v>
          </cell>
          <cell r="M3043">
            <v>-128.99166666666667</v>
          </cell>
        </row>
        <row r="3044">
          <cell r="L3044" t="str">
            <v>VOIP</v>
          </cell>
          <cell r="M3044">
            <v>-16.366666666666667</v>
          </cell>
        </row>
        <row r="3045">
          <cell r="L3045" t="str">
            <v>Eating Out</v>
          </cell>
          <cell r="M3045">
            <v>-15.5</v>
          </cell>
        </row>
        <row r="3046">
          <cell r="L3046" t="str">
            <v>Doctor</v>
          </cell>
          <cell r="M3046">
            <v>-74.116666666666674</v>
          </cell>
        </row>
        <row r="3047">
          <cell r="L3047" t="str">
            <v>Petrol</v>
          </cell>
          <cell r="M3047">
            <v>-61.608333333333341</v>
          </cell>
        </row>
        <row r="3048">
          <cell r="L3048" t="str">
            <v>Eating Out</v>
          </cell>
          <cell r="M3048">
            <v>-66.966666666666669</v>
          </cell>
        </row>
        <row r="3049">
          <cell r="L3049" t="str">
            <v>Wool</v>
          </cell>
          <cell r="M3049">
            <v>-37.904166666666669</v>
          </cell>
        </row>
        <row r="3050">
          <cell r="L3050" t="str">
            <v>Wool</v>
          </cell>
          <cell r="M3050">
            <v>-178.82500000000002</v>
          </cell>
        </row>
        <row r="3051">
          <cell r="L3051" t="str">
            <v>Eating Out</v>
          </cell>
          <cell r="M3051">
            <v>-45.891666666666666</v>
          </cell>
        </row>
        <row r="3052">
          <cell r="L3052" t="str">
            <v>Medicare Refund</v>
          </cell>
          <cell r="M3052">
            <v>32.1</v>
          </cell>
        </row>
        <row r="3053">
          <cell r="L3053" t="str">
            <v>Doctor</v>
          </cell>
          <cell r="M3053">
            <v>-93.3</v>
          </cell>
        </row>
        <row r="3054">
          <cell r="L3054" t="str">
            <v>Eating Out</v>
          </cell>
          <cell r="M3054">
            <v>-23.324999999999999</v>
          </cell>
        </row>
        <row r="3055">
          <cell r="L3055" t="str">
            <v>Optus Mobile</v>
          </cell>
          <cell r="M3055">
            <v>-270.55416666666667</v>
          </cell>
        </row>
        <row r="3056">
          <cell r="L3056" t="str">
            <v>Eating Out</v>
          </cell>
          <cell r="M3056">
            <v>-107.1375</v>
          </cell>
        </row>
        <row r="3057">
          <cell r="L3057" t="str">
            <v>Unknown</v>
          </cell>
          <cell r="M3057">
            <v>-250</v>
          </cell>
        </row>
        <row r="3058">
          <cell r="L3058" t="str">
            <v>Unknown</v>
          </cell>
          <cell r="M3058">
            <v>-20</v>
          </cell>
        </row>
        <row r="3059">
          <cell r="L3059" t="str">
            <v>Chemist</v>
          </cell>
          <cell r="M3059">
            <v>-63.137500000000003</v>
          </cell>
        </row>
        <row r="3060">
          <cell r="L3060" t="str">
            <v>Eating Out</v>
          </cell>
          <cell r="M3060">
            <v>-63.270833333333336</v>
          </cell>
        </row>
        <row r="3061">
          <cell r="L3061" t="str">
            <v>Groceries</v>
          </cell>
          <cell r="M3061">
            <v>-68.866666666666674</v>
          </cell>
        </row>
        <row r="3062">
          <cell r="L3062" t="str">
            <v>Eating Out</v>
          </cell>
          <cell r="M3062">
            <v>-38.183333333333337</v>
          </cell>
        </row>
        <row r="3063">
          <cell r="L3063" t="str">
            <v>Dont Account For</v>
          </cell>
          <cell r="M3063">
            <v>-30.983333333333334</v>
          </cell>
        </row>
        <row r="3064">
          <cell r="L3064" t="str">
            <v>Wool</v>
          </cell>
          <cell r="M3064">
            <v>-85.583333333333343</v>
          </cell>
        </row>
        <row r="3065">
          <cell r="L3065" t="str">
            <v>Petrol</v>
          </cell>
          <cell r="M3065">
            <v>-80.32083333333334</v>
          </cell>
        </row>
        <row r="3066">
          <cell r="L3066" t="str">
            <v>Eating Out</v>
          </cell>
          <cell r="M3066">
            <v>-52.537500000000001</v>
          </cell>
        </row>
        <row r="3067">
          <cell r="L3067" t="str">
            <v>Groceries</v>
          </cell>
          <cell r="M3067">
            <v>-101.34583333333333</v>
          </cell>
        </row>
        <row r="3068">
          <cell r="L3068" t="str">
            <v>Eating Out</v>
          </cell>
          <cell r="M3068">
            <v>-30.337500000000002</v>
          </cell>
        </row>
        <row r="3069">
          <cell r="L3069" t="str">
            <v>Cinema</v>
          </cell>
          <cell r="M3069">
            <v>-62.770833333333336</v>
          </cell>
        </row>
        <row r="3070">
          <cell r="L3070" t="str">
            <v>Eating Out</v>
          </cell>
          <cell r="M3070">
            <v>-248.46249999999998</v>
          </cell>
        </row>
        <row r="3071">
          <cell r="L3071" t="str">
            <v>Groceries</v>
          </cell>
          <cell r="M3071">
            <v>-222.98749999999998</v>
          </cell>
        </row>
        <row r="3072">
          <cell r="L3072" t="str">
            <v>Wool</v>
          </cell>
          <cell r="M3072">
            <v>-89.316666666666677</v>
          </cell>
        </row>
        <row r="3073">
          <cell r="L3073" t="str">
            <v>Unknown</v>
          </cell>
          <cell r="M3073">
            <v>-31.712500000000002</v>
          </cell>
        </row>
        <row r="3074">
          <cell r="L3074" t="str">
            <v>Optus Home Phone</v>
          </cell>
          <cell r="M3074">
            <v>-131.89583333333334</v>
          </cell>
        </row>
        <row r="3075">
          <cell r="L3075" t="str">
            <v>Regular Cost</v>
          </cell>
          <cell r="M3075">
            <v>-34</v>
          </cell>
        </row>
        <row r="3076">
          <cell r="L3076" t="str">
            <v>Autumn WaterSewage</v>
          </cell>
          <cell r="M3076">
            <v>-210.25833333333335</v>
          </cell>
        </row>
        <row r="3077">
          <cell r="L3077" t="str">
            <v>Wool</v>
          </cell>
          <cell r="M3077">
            <v>-24.075000000000003</v>
          </cell>
        </row>
        <row r="3078">
          <cell r="L3078" t="str">
            <v>Books, Videos, Magazines</v>
          </cell>
          <cell r="M3078">
            <v>-63.079166666666666</v>
          </cell>
        </row>
        <row r="3079">
          <cell r="L3079" t="str">
            <v>Clothing</v>
          </cell>
          <cell r="M3079">
            <v>-405.99583333333334</v>
          </cell>
        </row>
        <row r="3080">
          <cell r="L3080" t="str">
            <v>Gifts</v>
          </cell>
          <cell r="M3080">
            <v>-170.83333333333334</v>
          </cell>
        </row>
        <row r="3081">
          <cell r="L3081" t="str">
            <v>Unknown</v>
          </cell>
          <cell r="M3081">
            <v>-316.13750000000005</v>
          </cell>
        </row>
        <row r="3082">
          <cell r="L3082" t="str">
            <v>Groceries</v>
          </cell>
          <cell r="M3082">
            <v>-78.520833333333329</v>
          </cell>
        </row>
        <row r="3083">
          <cell r="L3083" t="str">
            <v>Eating Out</v>
          </cell>
          <cell r="M3083">
            <v>-62.170833333333341</v>
          </cell>
        </row>
        <row r="3084">
          <cell r="L3084" t="str">
            <v>Unknown</v>
          </cell>
          <cell r="M3084">
            <v>-16.041666666666668</v>
          </cell>
        </row>
        <row r="3085">
          <cell r="L3085" t="str">
            <v>Regular Cost</v>
          </cell>
          <cell r="M3085">
            <v>-6651.1083333333336</v>
          </cell>
        </row>
        <row r="3086">
          <cell r="L3086" t="str">
            <v>Doctor</v>
          </cell>
          <cell r="M3086">
            <v>-250.64999999999998</v>
          </cell>
        </row>
        <row r="3087">
          <cell r="L3087" t="str">
            <v>Eating Out</v>
          </cell>
          <cell r="M3087">
            <v>-151.71250000000001</v>
          </cell>
        </row>
        <row r="3088">
          <cell r="L3088" t="str">
            <v>Unknown</v>
          </cell>
          <cell r="M3088">
            <v>-100</v>
          </cell>
        </row>
        <row r="3089">
          <cell r="L3089" t="str">
            <v>Eating Out</v>
          </cell>
          <cell r="M3089">
            <v>-48.608333333333334</v>
          </cell>
        </row>
        <row r="3090">
          <cell r="L3090" t="str">
            <v>Dont Account For</v>
          </cell>
          <cell r="M3090">
            <v>-35.104166666666671</v>
          </cell>
        </row>
        <row r="3091">
          <cell r="L3091" t="str">
            <v>Car City Link</v>
          </cell>
          <cell r="M3091">
            <v>-15.054166666666669</v>
          </cell>
        </row>
        <row r="3092">
          <cell r="L3092" t="str">
            <v>Regular Cost</v>
          </cell>
          <cell r="M3092">
            <v>-372.0291666666667</v>
          </cell>
        </row>
        <row r="3093">
          <cell r="L3093" t="str">
            <v>Doctor</v>
          </cell>
          <cell r="M3093">
            <v>-338.82083333333333</v>
          </cell>
        </row>
        <row r="3094">
          <cell r="L3094" t="str">
            <v>Eating Out</v>
          </cell>
          <cell r="M3094">
            <v>-32.875000000000007</v>
          </cell>
        </row>
        <row r="3095">
          <cell r="L3095" t="str">
            <v>Unknown</v>
          </cell>
          <cell r="M3095">
            <v>-40.57083333333334</v>
          </cell>
        </row>
        <row r="3096">
          <cell r="L3096" t="str">
            <v>Petrol</v>
          </cell>
          <cell r="M3096">
            <v>-94.362499999999997</v>
          </cell>
        </row>
        <row r="3097">
          <cell r="L3097" t="str">
            <v>Doctor</v>
          </cell>
          <cell r="M3097">
            <v>-234.02083333333334</v>
          </cell>
        </row>
        <row r="3098">
          <cell r="L3098" t="str">
            <v>Dont Account For</v>
          </cell>
          <cell r="M3098">
            <v>-24</v>
          </cell>
        </row>
        <row r="3099">
          <cell r="L3099" t="str">
            <v>Groceries</v>
          </cell>
          <cell r="M3099">
            <v>-98.216666666666669</v>
          </cell>
        </row>
        <row r="3100">
          <cell r="L3100" t="str">
            <v>Unknown</v>
          </cell>
          <cell r="M3100">
            <v>-47.44166666666667</v>
          </cell>
        </row>
        <row r="3101">
          <cell r="L3101" t="str">
            <v>Unknown</v>
          </cell>
          <cell r="M3101">
            <v>-54</v>
          </cell>
        </row>
        <row r="3102">
          <cell r="L3102" t="str">
            <v>Groceries</v>
          </cell>
          <cell r="M3102">
            <v>-21.6875</v>
          </cell>
        </row>
        <row r="3103">
          <cell r="L3103" t="str">
            <v>Unknown</v>
          </cell>
          <cell r="M3103">
            <v>-31.145833333333336</v>
          </cell>
        </row>
        <row r="3104">
          <cell r="L3104" t="str">
            <v>Unknown</v>
          </cell>
          <cell r="M3104">
            <v>-203.30833333333334</v>
          </cell>
        </row>
        <row r="3105">
          <cell r="L3105" t="str">
            <v>Doctor</v>
          </cell>
          <cell r="M3105">
            <v>-94.875</v>
          </cell>
        </row>
        <row r="3106">
          <cell r="L3106" t="str">
            <v>Books, Videos, Magazines</v>
          </cell>
          <cell r="M3106">
            <v>-93.974999999999994</v>
          </cell>
        </row>
        <row r="3107">
          <cell r="L3107" t="str">
            <v>Eating Out</v>
          </cell>
          <cell r="M3107">
            <v>-17.283333333333331</v>
          </cell>
        </row>
        <row r="3108">
          <cell r="L3108" t="str">
            <v>Chemist</v>
          </cell>
          <cell r="M3108">
            <v>-25.824999999999999</v>
          </cell>
        </row>
        <row r="3109">
          <cell r="L3109" t="str">
            <v>Activities</v>
          </cell>
          <cell r="M3109">
            <v>-21.529166666666669</v>
          </cell>
        </row>
        <row r="3110">
          <cell r="L3110" t="str">
            <v>Eating Out</v>
          </cell>
          <cell r="M3110">
            <v>-57.179166666666667</v>
          </cell>
        </row>
        <row r="3111">
          <cell r="L3111" t="str">
            <v>Eating Out</v>
          </cell>
          <cell r="M3111">
            <v>-26.225000000000001</v>
          </cell>
        </row>
        <row r="3112">
          <cell r="L3112" t="str">
            <v>Groceries</v>
          </cell>
          <cell r="M3112">
            <v>-24.008333333333333</v>
          </cell>
        </row>
        <row r="3113">
          <cell r="L3113" t="str">
            <v>Unknown</v>
          </cell>
          <cell r="M3113">
            <v>-233.27083333333334</v>
          </cell>
        </row>
        <row r="3114">
          <cell r="L3114" t="str">
            <v>Eating Out</v>
          </cell>
          <cell r="M3114">
            <v>-31.833333333333336</v>
          </cell>
        </row>
        <row r="3115">
          <cell r="L3115" t="str">
            <v>Department Store</v>
          </cell>
          <cell r="M3115">
            <v>-40.808333333333337</v>
          </cell>
        </row>
        <row r="3116">
          <cell r="L3116" t="str">
            <v>Groceries</v>
          </cell>
          <cell r="M3116">
            <v>-51.283333333333331</v>
          </cell>
        </row>
        <row r="3117">
          <cell r="L3117" t="str">
            <v>Groceries</v>
          </cell>
          <cell r="M3117">
            <v>-90.529166666666669</v>
          </cell>
        </row>
        <row r="3118">
          <cell r="L3118" t="str">
            <v>Unknown</v>
          </cell>
          <cell r="M3118">
            <v>-14.191666666666668</v>
          </cell>
        </row>
        <row r="3119">
          <cell r="L3119" t="str">
            <v>Unknown</v>
          </cell>
          <cell r="M3119">
            <v>-150</v>
          </cell>
        </row>
        <row r="3120">
          <cell r="L3120" t="str">
            <v>Unknown</v>
          </cell>
          <cell r="M3120">
            <v>-21.670833333333334</v>
          </cell>
        </row>
        <row r="3121">
          <cell r="L3121" t="str">
            <v>Unknown</v>
          </cell>
          <cell r="M3121">
            <v>-24.925000000000001</v>
          </cell>
        </row>
        <row r="3122">
          <cell r="L3122" t="str">
            <v>Dont Account For</v>
          </cell>
          <cell r="M3122">
            <v>1000</v>
          </cell>
        </row>
        <row r="3123">
          <cell r="L3123" t="str">
            <v>Unknown</v>
          </cell>
          <cell r="M3123">
            <v>-17.245833333333334</v>
          </cell>
        </row>
        <row r="3124">
          <cell r="L3124" t="str">
            <v>Unknown</v>
          </cell>
          <cell r="M3124">
            <v>-42.291666666666671</v>
          </cell>
        </row>
        <row r="3125">
          <cell r="L3125" t="str">
            <v>Unknown</v>
          </cell>
          <cell r="M3125">
            <v>-39.620833333333337</v>
          </cell>
        </row>
        <row r="3126">
          <cell r="L3126" t="str">
            <v>Department Store</v>
          </cell>
          <cell r="M3126">
            <v>-40.987500000000004</v>
          </cell>
        </row>
        <row r="3127">
          <cell r="L3127" t="str">
            <v>Groceries</v>
          </cell>
          <cell r="M3127">
            <v>-31.750000000000004</v>
          </cell>
        </row>
        <row r="3128">
          <cell r="L3128" t="str">
            <v>Wool</v>
          </cell>
          <cell r="M3128">
            <v>-64.325000000000003</v>
          </cell>
        </row>
        <row r="3129">
          <cell r="L3129" t="str">
            <v>Petrol</v>
          </cell>
          <cell r="M3129">
            <v>-93.162500000000009</v>
          </cell>
        </row>
        <row r="3130">
          <cell r="L3130" t="str">
            <v>Regular Cost</v>
          </cell>
          <cell r="M3130">
            <v>-330.46250000000003</v>
          </cell>
        </row>
        <row r="3131">
          <cell r="L3131" t="str">
            <v>Regular Cost</v>
          </cell>
          <cell r="M3131">
            <v>-132.97083333333333</v>
          </cell>
        </row>
        <row r="3132">
          <cell r="L3132" t="str">
            <v>Unknown</v>
          </cell>
          <cell r="M3132">
            <v>-383.45416666666665</v>
          </cell>
        </row>
        <row r="3133">
          <cell r="L3133" t="str">
            <v>Holiday</v>
          </cell>
          <cell r="M3133">
            <v>-33.279166666666669</v>
          </cell>
        </row>
        <row r="3134">
          <cell r="L3134" t="str">
            <v>Regular Cost</v>
          </cell>
          <cell r="M3134">
            <v>-43.6</v>
          </cell>
        </row>
        <row r="3135">
          <cell r="L3135" t="str">
            <v>Dont Account For</v>
          </cell>
          <cell r="M3135">
            <v>600</v>
          </cell>
        </row>
        <row r="3136">
          <cell r="L3136" t="str">
            <v>Minerva Rent</v>
          </cell>
          <cell r="M3136">
            <v>0</v>
          </cell>
        </row>
        <row r="3137">
          <cell r="L3137" t="str">
            <v>Minerva Rent</v>
          </cell>
          <cell r="M3137">
            <v>2794.12</v>
          </cell>
        </row>
        <row r="3138">
          <cell r="L3138" t="str">
            <v>Minerva Agent</v>
          </cell>
          <cell r="M3138">
            <v>-238.62</v>
          </cell>
        </row>
        <row r="3139">
          <cell r="L3139" t="str">
            <v>Groceries</v>
          </cell>
          <cell r="M3139">
            <v>-252.69583333333335</v>
          </cell>
        </row>
        <row r="3140">
          <cell r="L3140" t="str">
            <v>Dont Account For</v>
          </cell>
          <cell r="M3140">
            <v>20.833333333333336</v>
          </cell>
        </row>
        <row r="3141">
          <cell r="L3141" t="str">
            <v>Holiday</v>
          </cell>
          <cell r="M3141">
            <v>-16.69166666666667</v>
          </cell>
        </row>
        <row r="3142">
          <cell r="L3142" t="str">
            <v>Eating Out</v>
          </cell>
          <cell r="M3142">
            <v>-89.929166666666674</v>
          </cell>
        </row>
        <row r="3143">
          <cell r="L3143" t="str">
            <v>Holiday</v>
          </cell>
          <cell r="M3143">
            <v>-113.04166666666667</v>
          </cell>
        </row>
        <row r="3144">
          <cell r="L3144" t="str">
            <v>Stationary</v>
          </cell>
          <cell r="M3144">
            <v>-20.412500000000001</v>
          </cell>
        </row>
        <row r="3145">
          <cell r="L3145" t="str">
            <v>Unknown</v>
          </cell>
          <cell r="M3145">
            <v>-24.304166666666667</v>
          </cell>
        </row>
        <row r="3146">
          <cell r="L3146" t="str">
            <v>Unknown</v>
          </cell>
          <cell r="M3146">
            <v>-36.983333333333334</v>
          </cell>
        </row>
        <row r="3147">
          <cell r="L3147" t="str">
            <v>Dont Account For</v>
          </cell>
          <cell r="M3147">
            <v>-57.291666666666671</v>
          </cell>
        </row>
        <row r="3148">
          <cell r="L3148" t="str">
            <v>Unknown</v>
          </cell>
          <cell r="M3148">
            <v>0</v>
          </cell>
        </row>
        <row r="3149">
          <cell r="L3149" t="str">
            <v>Dont Account For</v>
          </cell>
          <cell r="M3149">
            <v>0.36</v>
          </cell>
        </row>
        <row r="3150">
          <cell r="L3150" t="str">
            <v>Bank Charges</v>
          </cell>
          <cell r="M3150">
            <v>-4</v>
          </cell>
        </row>
        <row r="3151">
          <cell r="L3151" t="str">
            <v>Regular Cost</v>
          </cell>
          <cell r="M3151">
            <v>-180.97</v>
          </cell>
        </row>
        <row r="3152">
          <cell r="L3152" t="str">
            <v>Bank Charges</v>
          </cell>
          <cell r="M3152">
            <v>-5</v>
          </cell>
        </row>
        <row r="3153">
          <cell r="L3153" t="str">
            <v>Unknown</v>
          </cell>
          <cell r="M3153">
            <v>-26.25</v>
          </cell>
        </row>
        <row r="3154">
          <cell r="L3154" t="str">
            <v>Regular Cost</v>
          </cell>
          <cell r="M3154">
            <v>-97.645833333333329</v>
          </cell>
        </row>
        <row r="3155">
          <cell r="L3155" t="str">
            <v>Holiday</v>
          </cell>
          <cell r="M3155">
            <v>-145.19583333333335</v>
          </cell>
        </row>
        <row r="3156">
          <cell r="L3156" t="str">
            <v>Eating Out</v>
          </cell>
          <cell r="M3156">
            <v>-55.150000000000006</v>
          </cell>
        </row>
        <row r="3157">
          <cell r="L3157" t="str">
            <v>Dont Account For</v>
          </cell>
          <cell r="M3157">
            <v>254.16666666666669</v>
          </cell>
        </row>
        <row r="3158">
          <cell r="L3158" t="str">
            <v>Dont Account For</v>
          </cell>
          <cell r="M3158">
            <v>5000</v>
          </cell>
        </row>
        <row r="3159">
          <cell r="L3159" t="str">
            <v>Groceries</v>
          </cell>
          <cell r="M3159">
            <v>-119.175</v>
          </cell>
        </row>
        <row r="3160">
          <cell r="L3160" t="str">
            <v>Unknown</v>
          </cell>
          <cell r="M3160">
            <v>-54.587499999999999</v>
          </cell>
        </row>
        <row r="3161">
          <cell r="L3161" t="str">
            <v>Holiday</v>
          </cell>
          <cell r="M3161">
            <v>-83.125</v>
          </cell>
        </row>
        <row r="3162">
          <cell r="L3162" t="str">
            <v>Regular Cost</v>
          </cell>
          <cell r="M3162">
            <v>-27.708333333333336</v>
          </cell>
        </row>
        <row r="3163">
          <cell r="L3163" t="str">
            <v>Unknown</v>
          </cell>
          <cell r="M3163">
            <v>-46.370833333333337</v>
          </cell>
        </row>
        <row r="3164">
          <cell r="L3164" t="str">
            <v>Dont Account For</v>
          </cell>
          <cell r="M3164">
            <v>2500</v>
          </cell>
        </row>
        <row r="3165">
          <cell r="L3165" t="str">
            <v>Dont Account For</v>
          </cell>
          <cell r="M3165">
            <v>-11.1</v>
          </cell>
        </row>
        <row r="3166">
          <cell r="L3166" t="str">
            <v>Holiday</v>
          </cell>
          <cell r="M3166">
            <v>-71.804166666666674</v>
          </cell>
        </row>
        <row r="3167">
          <cell r="L3167" t="str">
            <v>Holiday</v>
          </cell>
          <cell r="M3167">
            <v>-62.029166666666669</v>
          </cell>
        </row>
        <row r="3168">
          <cell r="L3168" t="str">
            <v>Unknown</v>
          </cell>
          <cell r="M3168">
            <v>-35.837500000000006</v>
          </cell>
        </row>
        <row r="3169">
          <cell r="L3169" t="str">
            <v>Holiday</v>
          </cell>
          <cell r="M3169">
            <v>-17.825000000000003</v>
          </cell>
        </row>
        <row r="3170">
          <cell r="L3170" t="str">
            <v>Holiday</v>
          </cell>
          <cell r="M3170">
            <v>-37.49583333333333</v>
          </cell>
        </row>
        <row r="3171">
          <cell r="L3171" t="str">
            <v>Holiday</v>
          </cell>
          <cell r="M3171">
            <v>-70.741666666666674</v>
          </cell>
        </row>
        <row r="3172">
          <cell r="L3172" t="str">
            <v>Dont Account For</v>
          </cell>
          <cell r="M3172">
            <v>-69.245833333333337</v>
          </cell>
        </row>
        <row r="3173">
          <cell r="L3173" t="str">
            <v>Holiday</v>
          </cell>
          <cell r="M3173">
            <v>-27.612500000000001</v>
          </cell>
        </row>
        <row r="3174">
          <cell r="L3174" t="str">
            <v>Holiday</v>
          </cell>
          <cell r="M3174">
            <v>-34.69166666666667</v>
          </cell>
        </row>
        <row r="3175">
          <cell r="L3175" t="str">
            <v>Holiday</v>
          </cell>
          <cell r="M3175">
            <v>-59.25416666666667</v>
          </cell>
        </row>
        <row r="3176">
          <cell r="L3176" t="str">
            <v>Department Store</v>
          </cell>
          <cell r="M3176">
            <v>-181.3</v>
          </cell>
        </row>
        <row r="3177">
          <cell r="L3177" t="str">
            <v>Department Store</v>
          </cell>
          <cell r="M3177">
            <v>-237.01666666666668</v>
          </cell>
        </row>
        <row r="3178">
          <cell r="L3178" t="str">
            <v>Unknown</v>
          </cell>
          <cell r="M3178">
            <v>-32.537500000000001</v>
          </cell>
        </row>
        <row r="3179">
          <cell r="L3179" t="str">
            <v>Department Store</v>
          </cell>
          <cell r="M3179">
            <v>-109.42083333333335</v>
          </cell>
        </row>
        <row r="3180">
          <cell r="L3180" t="str">
            <v>Dont Account For</v>
          </cell>
          <cell r="M3180">
            <v>-6.8958333333333339</v>
          </cell>
        </row>
        <row r="3181">
          <cell r="L3181" t="str">
            <v>Holiday</v>
          </cell>
          <cell r="M3181">
            <v>-41.308333333333337</v>
          </cell>
        </row>
        <row r="3182">
          <cell r="L3182" t="str">
            <v>Unknown</v>
          </cell>
          <cell r="M3182">
            <v>-134.07083333333333</v>
          </cell>
        </row>
        <row r="3183">
          <cell r="L3183" t="str">
            <v>Unknown</v>
          </cell>
          <cell r="M3183">
            <v>-39.3125</v>
          </cell>
        </row>
        <row r="3184">
          <cell r="L3184" t="str">
            <v>Holiday</v>
          </cell>
          <cell r="M3184">
            <v>-32.641666666666673</v>
          </cell>
        </row>
        <row r="3185">
          <cell r="L3185" t="str">
            <v>Unknown</v>
          </cell>
          <cell r="M3185">
            <v>-43.520833333333336</v>
          </cell>
        </row>
        <row r="3186">
          <cell r="L3186" t="str">
            <v>Dont Account For</v>
          </cell>
          <cell r="M3186">
            <v>-798.91666666666674</v>
          </cell>
        </row>
        <row r="3187">
          <cell r="L3187" t="str">
            <v>Dont Account For</v>
          </cell>
          <cell r="M3187">
            <v>-13.48</v>
          </cell>
        </row>
        <row r="3188">
          <cell r="L3188" t="str">
            <v>Dont Account For</v>
          </cell>
          <cell r="M3188">
            <v>-386.24583333333334</v>
          </cell>
        </row>
        <row r="3189">
          <cell r="L3189" t="str">
            <v>Unknown</v>
          </cell>
          <cell r="M3189">
            <v>-59.525000000000006</v>
          </cell>
        </row>
        <row r="3190">
          <cell r="L3190" t="str">
            <v>Holiday</v>
          </cell>
          <cell r="M3190">
            <v>-41.383333333333333</v>
          </cell>
        </row>
        <row r="3191">
          <cell r="L3191" t="str">
            <v>Dont Account For</v>
          </cell>
          <cell r="M3191">
            <v>-22.070833333333333</v>
          </cell>
        </row>
        <row r="3192">
          <cell r="L3192" t="str">
            <v>Holiday</v>
          </cell>
          <cell r="M3192">
            <v>-68.137500000000003</v>
          </cell>
        </row>
        <row r="3193">
          <cell r="L3193" t="str">
            <v>Holiday</v>
          </cell>
          <cell r="M3193">
            <v>-62.616666666666667</v>
          </cell>
        </row>
        <row r="3194">
          <cell r="L3194" t="str">
            <v>Unknown</v>
          </cell>
          <cell r="M3194">
            <v>-125.9375</v>
          </cell>
        </row>
        <row r="3195">
          <cell r="L3195" t="str">
            <v>Holiday</v>
          </cell>
          <cell r="M3195">
            <v>-66.962500000000006</v>
          </cell>
        </row>
        <row r="3196">
          <cell r="L3196" t="str">
            <v>Holiday</v>
          </cell>
          <cell r="M3196">
            <v>-34.954166666666666</v>
          </cell>
        </row>
        <row r="3197">
          <cell r="L3197" t="str">
            <v>Books, Videos, Magazines</v>
          </cell>
          <cell r="M3197">
            <v>-110.25000000000001</v>
          </cell>
        </row>
        <row r="3198">
          <cell r="L3198" t="str">
            <v>Unknown</v>
          </cell>
          <cell r="M3198">
            <v>-84.05416666666666</v>
          </cell>
        </row>
        <row r="3199">
          <cell r="L3199" t="str">
            <v>Unknown</v>
          </cell>
          <cell r="M3199">
            <v>-55.6</v>
          </cell>
        </row>
        <row r="3200">
          <cell r="L3200" t="str">
            <v>Eating Out</v>
          </cell>
          <cell r="M3200">
            <v>-31.799999999999997</v>
          </cell>
        </row>
        <row r="3201">
          <cell r="L3201" t="str">
            <v>Unknown</v>
          </cell>
          <cell r="M3201">
            <v>-27.5</v>
          </cell>
        </row>
        <row r="3202">
          <cell r="L3202" t="str">
            <v>Groceries</v>
          </cell>
          <cell r="M3202">
            <v>-106.75416666666666</v>
          </cell>
        </row>
        <row r="3203">
          <cell r="L3203" t="str">
            <v>Dont Account For</v>
          </cell>
          <cell r="M3203">
            <v>-41.666666666666671</v>
          </cell>
        </row>
        <row r="3204">
          <cell r="L3204" t="str">
            <v>Unknown</v>
          </cell>
          <cell r="M3204">
            <v>-14.85</v>
          </cell>
        </row>
        <row r="3205">
          <cell r="L3205" t="str">
            <v>VOIP</v>
          </cell>
          <cell r="M3205">
            <v>-16.662500000000001</v>
          </cell>
        </row>
        <row r="3206">
          <cell r="L3206" t="str">
            <v>Groceries</v>
          </cell>
          <cell r="M3206">
            <v>-328.62916666666672</v>
          </cell>
        </row>
        <row r="3207">
          <cell r="L3207" t="str">
            <v>Wool</v>
          </cell>
          <cell r="M3207">
            <v>-32.162500000000001</v>
          </cell>
        </row>
        <row r="3208">
          <cell r="L3208" t="str">
            <v>Dont Account For</v>
          </cell>
          <cell r="M3208">
            <v>-16.841666666666669</v>
          </cell>
        </row>
        <row r="3209">
          <cell r="L3209" t="str">
            <v>Groceries</v>
          </cell>
          <cell r="M3209">
            <v>-19.1875</v>
          </cell>
        </row>
        <row r="3210">
          <cell r="L3210" t="str">
            <v>Groceries</v>
          </cell>
          <cell r="M3210">
            <v>-126.34583333333335</v>
          </cell>
        </row>
        <row r="3211">
          <cell r="L3211" t="str">
            <v>Eating Out</v>
          </cell>
          <cell r="M3211">
            <v>-56.279166666666669</v>
          </cell>
        </row>
        <row r="3212">
          <cell r="L3212" t="str">
            <v>Wool</v>
          </cell>
          <cell r="M3212">
            <v>-80.541666666666671</v>
          </cell>
        </row>
        <row r="3213">
          <cell r="L3213" t="str">
            <v>Uniforms</v>
          </cell>
          <cell r="M3213">
            <v>-54.679166666666667</v>
          </cell>
        </row>
        <row r="3214">
          <cell r="L3214" t="str">
            <v>Unknown</v>
          </cell>
          <cell r="M3214">
            <v>-452.15000000000003</v>
          </cell>
        </row>
        <row r="3215">
          <cell r="L3215" t="str">
            <v>Clothing</v>
          </cell>
          <cell r="M3215">
            <v>-317.85000000000002</v>
          </cell>
        </row>
        <row r="3216">
          <cell r="L3216" t="str">
            <v>Dont Account For</v>
          </cell>
          <cell r="M3216">
            <v>1041.6666666666667</v>
          </cell>
        </row>
        <row r="3217">
          <cell r="L3217" t="str">
            <v>Dont Account For</v>
          </cell>
          <cell r="M3217">
            <v>-166.79583333333335</v>
          </cell>
        </row>
        <row r="3218">
          <cell r="L3218" t="str">
            <v>Regular Cost</v>
          </cell>
          <cell r="M3218">
            <v>-360.30833333333334</v>
          </cell>
        </row>
        <row r="3219">
          <cell r="L3219" t="str">
            <v>Dont Account For</v>
          </cell>
          <cell r="M3219">
            <v>-27.45</v>
          </cell>
        </row>
        <row r="3220">
          <cell r="L3220" t="str">
            <v>Dont Account For</v>
          </cell>
          <cell r="M3220">
            <v>-91</v>
          </cell>
        </row>
        <row r="3221">
          <cell r="L3221" t="str">
            <v>Eating Out</v>
          </cell>
          <cell r="M3221">
            <v>-42.387500000000003</v>
          </cell>
        </row>
        <row r="3222">
          <cell r="L3222" t="str">
            <v>Eating Out</v>
          </cell>
          <cell r="M3222">
            <v>-36.029166666666669</v>
          </cell>
        </row>
        <row r="3223">
          <cell r="L3223" t="str">
            <v>Dont Account For</v>
          </cell>
          <cell r="M3223">
            <v>-258.36250000000001</v>
          </cell>
        </row>
        <row r="3224">
          <cell r="L3224" t="str">
            <v>Petrol</v>
          </cell>
          <cell r="M3224">
            <v>-45.56666666666667</v>
          </cell>
        </row>
        <row r="3225">
          <cell r="L3225" t="str">
            <v>Eating Out</v>
          </cell>
          <cell r="M3225">
            <v>-57.93333333333333</v>
          </cell>
        </row>
        <row r="3226">
          <cell r="L3226" t="str">
            <v>Stationary</v>
          </cell>
          <cell r="M3226">
            <v>-56.408333333333331</v>
          </cell>
        </row>
        <row r="3227">
          <cell r="L3227" t="str">
            <v>Eating Out</v>
          </cell>
          <cell r="M3227">
            <v>-35.25416666666667</v>
          </cell>
        </row>
        <row r="3228">
          <cell r="L3228" t="str">
            <v>Groceries</v>
          </cell>
          <cell r="M3228">
            <v>-70.241666666666674</v>
          </cell>
        </row>
        <row r="3229">
          <cell r="L3229" t="str">
            <v>Regular Cost</v>
          </cell>
          <cell r="M3229">
            <v>-39.483333333333334</v>
          </cell>
        </row>
        <row r="3230">
          <cell r="L3230" t="str">
            <v>Cinema</v>
          </cell>
          <cell r="M3230">
            <v>-43.716666666666669</v>
          </cell>
        </row>
        <row r="3231">
          <cell r="L3231" t="str">
            <v>Optus Home Phone</v>
          </cell>
          <cell r="M3231">
            <v>-95.754166666666677</v>
          </cell>
        </row>
        <row r="3232">
          <cell r="L3232" t="str">
            <v>Unknown</v>
          </cell>
          <cell r="M3232">
            <v>-34.666666666666671</v>
          </cell>
        </row>
        <row r="3233">
          <cell r="L3233" t="str">
            <v>Gifts</v>
          </cell>
          <cell r="M3233">
            <v>-34.666666666666671</v>
          </cell>
        </row>
        <row r="3234">
          <cell r="L3234" t="str">
            <v>Dont Account For</v>
          </cell>
          <cell r="M3234">
            <v>-100</v>
          </cell>
        </row>
        <row r="3235">
          <cell r="L3235" t="str">
            <v>Bank Charges</v>
          </cell>
          <cell r="M3235">
            <v>-1.5</v>
          </cell>
        </row>
        <row r="3236">
          <cell r="L3236" t="str">
            <v>Petrol</v>
          </cell>
          <cell r="M3236">
            <v>-33.054166666666667</v>
          </cell>
        </row>
        <row r="3237">
          <cell r="L3237" t="str">
            <v>Doctor</v>
          </cell>
          <cell r="M3237">
            <v>-79.733333333333348</v>
          </cell>
        </row>
        <row r="3238">
          <cell r="L3238" t="str">
            <v>Eating Out</v>
          </cell>
          <cell r="M3238">
            <v>-27.279166666666669</v>
          </cell>
        </row>
        <row r="3239">
          <cell r="L3239" t="str">
            <v>Dont Account For</v>
          </cell>
          <cell r="M3239">
            <v>-100</v>
          </cell>
        </row>
        <row r="3240">
          <cell r="L3240" t="str">
            <v>Dont Account For</v>
          </cell>
          <cell r="M3240">
            <v>-291.25</v>
          </cell>
        </row>
        <row r="3241">
          <cell r="L3241" t="str">
            <v>Groceries</v>
          </cell>
          <cell r="M3241">
            <v>-122.30833333333335</v>
          </cell>
        </row>
        <row r="3242">
          <cell r="L3242" t="str">
            <v>Gifts</v>
          </cell>
          <cell r="M3242">
            <v>-41.983333333333334</v>
          </cell>
        </row>
        <row r="3243">
          <cell r="L3243" t="str">
            <v>Gifts</v>
          </cell>
          <cell r="M3243">
            <v>-35.683333333333337</v>
          </cell>
        </row>
        <row r="3244">
          <cell r="L3244" t="str">
            <v>Doctor</v>
          </cell>
          <cell r="M3244">
            <v>-403.23333333333335</v>
          </cell>
        </row>
        <row r="3245">
          <cell r="L3245" t="str">
            <v>Eating Out</v>
          </cell>
          <cell r="M3245">
            <v>-38.25</v>
          </cell>
        </row>
        <row r="3246">
          <cell r="L3246" t="str">
            <v>Medicare Refund</v>
          </cell>
          <cell r="M3246">
            <v>32.1</v>
          </cell>
        </row>
        <row r="3247">
          <cell r="L3247" t="str">
            <v>Unknown</v>
          </cell>
          <cell r="M3247">
            <v>-16.791666666666668</v>
          </cell>
        </row>
        <row r="3248">
          <cell r="L3248" t="str">
            <v>Books, Videos, Magazines</v>
          </cell>
          <cell r="M3248">
            <v>-30.037500000000001</v>
          </cell>
        </row>
        <row r="3249">
          <cell r="L3249" t="str">
            <v>Groceries</v>
          </cell>
          <cell r="M3249">
            <v>-71.491666666666674</v>
          </cell>
        </row>
        <row r="3250">
          <cell r="L3250" t="str">
            <v>Eating Out</v>
          </cell>
          <cell r="M3250">
            <v>-10</v>
          </cell>
        </row>
        <row r="3251">
          <cell r="L3251" t="str">
            <v>Minerva WaterSewage</v>
          </cell>
          <cell r="M3251">
            <v>-40.708333333333336</v>
          </cell>
        </row>
        <row r="3252">
          <cell r="L3252" t="str">
            <v>Petrol</v>
          </cell>
          <cell r="M3252">
            <v>-48.145833333333336</v>
          </cell>
        </row>
        <row r="3253">
          <cell r="L3253" t="str">
            <v>Doctor</v>
          </cell>
          <cell r="M3253">
            <v>-79.870833333333337</v>
          </cell>
        </row>
        <row r="3254">
          <cell r="L3254" t="str">
            <v>Unknown</v>
          </cell>
          <cell r="M3254">
            <v>-22</v>
          </cell>
        </row>
        <row r="3255">
          <cell r="L3255" t="str">
            <v>Groceries</v>
          </cell>
          <cell r="M3255">
            <v>-56.3</v>
          </cell>
        </row>
        <row r="3256">
          <cell r="L3256" t="str">
            <v>Dont Account For</v>
          </cell>
          <cell r="M3256">
            <v>-68.333333333333343</v>
          </cell>
        </row>
        <row r="3257">
          <cell r="L3257" t="str">
            <v>Dont Account For</v>
          </cell>
          <cell r="M3257">
            <v>-112.5</v>
          </cell>
        </row>
        <row r="3258">
          <cell r="L3258" t="str">
            <v>Household Items</v>
          </cell>
          <cell r="M3258">
            <v>-36.537500000000001</v>
          </cell>
        </row>
        <row r="3259">
          <cell r="L3259" t="str">
            <v>Books, Videos, Magazines</v>
          </cell>
          <cell r="M3259">
            <v>-87.262500000000003</v>
          </cell>
        </row>
        <row r="3260">
          <cell r="L3260" t="str">
            <v>Dont Account For</v>
          </cell>
          <cell r="M3260">
            <v>-88.2</v>
          </cell>
        </row>
        <row r="3261">
          <cell r="L3261" t="str">
            <v>Clothing</v>
          </cell>
          <cell r="M3261">
            <v>-17.600000000000001</v>
          </cell>
        </row>
        <row r="3262">
          <cell r="L3262" t="str">
            <v>Groceries</v>
          </cell>
          <cell r="M3262">
            <v>-12</v>
          </cell>
        </row>
        <row r="3263">
          <cell r="L3263" t="str">
            <v>Unknown</v>
          </cell>
          <cell r="M3263">
            <v>-200</v>
          </cell>
        </row>
        <row r="3264">
          <cell r="L3264" t="str">
            <v>Groceries</v>
          </cell>
          <cell r="M3264">
            <v>-82.00833333333334</v>
          </cell>
        </row>
        <row r="3265">
          <cell r="L3265" t="str">
            <v>Wool</v>
          </cell>
          <cell r="M3265">
            <v>-74.63333333333334</v>
          </cell>
        </row>
        <row r="3266">
          <cell r="L3266" t="str">
            <v>Groceries</v>
          </cell>
          <cell r="M3266">
            <v>-53.966666666666676</v>
          </cell>
        </row>
        <row r="3267">
          <cell r="L3267" t="str">
            <v>Eating Out</v>
          </cell>
          <cell r="M3267">
            <v>-8.25</v>
          </cell>
        </row>
        <row r="3268">
          <cell r="L3268" t="str">
            <v>Dont Account For</v>
          </cell>
          <cell r="M3268">
            <v>2916.666666666667</v>
          </cell>
        </row>
        <row r="3269">
          <cell r="L3269" t="str">
            <v>Dont Account For</v>
          </cell>
          <cell r="M3269">
            <v>11666.666666666668</v>
          </cell>
        </row>
        <row r="3270">
          <cell r="L3270" t="str">
            <v>Dont Account For</v>
          </cell>
          <cell r="M3270">
            <v>509.16666666666669</v>
          </cell>
        </row>
        <row r="3271">
          <cell r="L3271" t="str">
            <v>Dont Account For</v>
          </cell>
          <cell r="M3271">
            <v>-100</v>
          </cell>
        </row>
        <row r="3272">
          <cell r="L3272" t="str">
            <v>Unknown</v>
          </cell>
          <cell r="M3272">
            <v>-100</v>
          </cell>
        </row>
        <row r="3273">
          <cell r="L3273" t="str">
            <v>Gifts</v>
          </cell>
          <cell r="M3273">
            <v>-160.53750000000002</v>
          </cell>
        </row>
        <row r="3274">
          <cell r="L3274" t="str">
            <v>Regular Cost</v>
          </cell>
          <cell r="M3274">
            <v>-138.42083333333332</v>
          </cell>
        </row>
        <row r="3275">
          <cell r="L3275" t="str">
            <v>Department Store</v>
          </cell>
          <cell r="M3275">
            <v>-127.26</v>
          </cell>
        </row>
        <row r="3276">
          <cell r="L3276" t="str">
            <v>Books, Videos, Magazines</v>
          </cell>
          <cell r="M3276">
            <v>-130.80833333333334</v>
          </cell>
        </row>
        <row r="3277">
          <cell r="L3277" t="str">
            <v>Associations</v>
          </cell>
          <cell r="M3277">
            <v>-36.016666666666666</v>
          </cell>
        </row>
        <row r="3278">
          <cell r="L3278" t="str">
            <v>Groceries</v>
          </cell>
          <cell r="M3278">
            <v>-20.170833333333334</v>
          </cell>
        </row>
        <row r="3279">
          <cell r="L3279" t="str">
            <v>Unknown</v>
          </cell>
          <cell r="M3279">
            <v>-26</v>
          </cell>
        </row>
        <row r="3280">
          <cell r="L3280" t="str">
            <v>Eating Out</v>
          </cell>
          <cell r="M3280">
            <v>-24.779166666666669</v>
          </cell>
        </row>
        <row r="3281">
          <cell r="L3281" t="str">
            <v>Eating Out</v>
          </cell>
          <cell r="M3281">
            <v>-31.69166666666667</v>
          </cell>
        </row>
        <row r="3282">
          <cell r="L3282" t="str">
            <v>Petrol</v>
          </cell>
          <cell r="M3282">
            <v>-30.225000000000005</v>
          </cell>
        </row>
        <row r="3283">
          <cell r="L3283" t="str">
            <v>Department Store</v>
          </cell>
          <cell r="M3283">
            <v>-355.41250000000002</v>
          </cell>
        </row>
        <row r="3284">
          <cell r="L3284" t="str">
            <v>Unknown</v>
          </cell>
          <cell r="M3284">
            <v>-21.537500000000001</v>
          </cell>
        </row>
        <row r="3285">
          <cell r="L3285" t="str">
            <v>Unknown</v>
          </cell>
          <cell r="M3285">
            <v>-43.216666666666669</v>
          </cell>
        </row>
        <row r="3286">
          <cell r="L3286" t="str">
            <v>Unknown</v>
          </cell>
          <cell r="M3286">
            <v>-39.425000000000004</v>
          </cell>
        </row>
        <row r="3287">
          <cell r="L3287" t="str">
            <v>Unknown</v>
          </cell>
          <cell r="M3287">
            <v>-38.591666666666669</v>
          </cell>
        </row>
        <row r="3288">
          <cell r="L3288" t="str">
            <v>Stationary</v>
          </cell>
          <cell r="M3288">
            <v>-21.616666666666667</v>
          </cell>
        </row>
        <row r="3289">
          <cell r="L3289" t="str">
            <v>Gifts</v>
          </cell>
          <cell r="M3289">
            <v>-17.408333333333335</v>
          </cell>
        </row>
        <row r="3290">
          <cell r="L3290" t="str">
            <v>Groceries</v>
          </cell>
          <cell r="M3290">
            <v>-23.937500000000004</v>
          </cell>
        </row>
        <row r="3291">
          <cell r="L3291" t="str">
            <v>Eating Out</v>
          </cell>
          <cell r="M3291">
            <v>-24.883333333333333</v>
          </cell>
        </row>
        <row r="3292">
          <cell r="L3292" t="str">
            <v>Unknown</v>
          </cell>
          <cell r="M3292">
            <v>-63.4</v>
          </cell>
        </row>
        <row r="3293">
          <cell r="L3293" t="str">
            <v>Bank Charges</v>
          </cell>
          <cell r="M3293">
            <v>-12.45</v>
          </cell>
        </row>
        <row r="3294">
          <cell r="L3294" t="str">
            <v>Minerva Rent</v>
          </cell>
          <cell r="M3294">
            <v>0</v>
          </cell>
        </row>
        <row r="3295">
          <cell r="L3295" t="str">
            <v>Minerva Rent</v>
          </cell>
          <cell r="M3295">
            <v>2794.12</v>
          </cell>
        </row>
        <row r="3296">
          <cell r="L3296" t="str">
            <v>Minerva Agent</v>
          </cell>
          <cell r="M3296">
            <v>-238.62</v>
          </cell>
        </row>
        <row r="3297">
          <cell r="L3297" t="str">
            <v>Bank Charges</v>
          </cell>
          <cell r="M3297">
            <v>-4</v>
          </cell>
        </row>
        <row r="3298">
          <cell r="L3298" t="str">
            <v>Regular Cost</v>
          </cell>
          <cell r="M3298">
            <v>-180.97</v>
          </cell>
        </row>
        <row r="3299">
          <cell r="L3299" t="str">
            <v>Bank Charges</v>
          </cell>
          <cell r="M3299">
            <v>-5</v>
          </cell>
        </row>
        <row r="3300">
          <cell r="L3300" t="str">
            <v>Cinema</v>
          </cell>
          <cell r="M3300">
            <v>-40.233333333333334</v>
          </cell>
        </row>
        <row r="3301">
          <cell r="L3301" t="str">
            <v>Books, Videos, Magazines</v>
          </cell>
          <cell r="M3301">
            <v>-40.233333333333334</v>
          </cell>
        </row>
        <row r="3302">
          <cell r="L3302" t="str">
            <v>Autumn Electricity</v>
          </cell>
          <cell r="M3302">
            <v>-422.82499999999999</v>
          </cell>
        </row>
        <row r="3303">
          <cell r="L3303" t="str">
            <v>Dont Account For</v>
          </cell>
          <cell r="M3303">
            <v>-136.51250000000002</v>
          </cell>
        </row>
        <row r="3304">
          <cell r="L3304" t="str">
            <v>Gifts</v>
          </cell>
          <cell r="M3304">
            <v>-100.58750000000001</v>
          </cell>
        </row>
        <row r="3305">
          <cell r="L3305" t="str">
            <v>Regular Cost</v>
          </cell>
          <cell r="M3305">
            <v>-101.52083333333334</v>
          </cell>
        </row>
        <row r="3306">
          <cell r="L3306" t="str">
            <v>Unknown</v>
          </cell>
          <cell r="M3306">
            <v>-17.241666666666667</v>
          </cell>
        </row>
        <row r="3307">
          <cell r="L3307" t="str">
            <v>Dont Account For</v>
          </cell>
          <cell r="M3307">
            <v>-100</v>
          </cell>
        </row>
        <row r="3308">
          <cell r="L3308" t="str">
            <v>Groceries</v>
          </cell>
          <cell r="M3308">
            <v>-65.87</v>
          </cell>
        </row>
        <row r="3309">
          <cell r="L3309" t="str">
            <v>Dont Account For</v>
          </cell>
          <cell r="M3309">
            <v>-47.258333333333333</v>
          </cell>
        </row>
        <row r="3310">
          <cell r="L3310" t="str">
            <v>Eating Out</v>
          </cell>
          <cell r="M3310">
            <v>-63.324999999999996</v>
          </cell>
        </row>
        <row r="3311">
          <cell r="L3311" t="str">
            <v>Petrol</v>
          </cell>
          <cell r="M3311">
            <v>-115.13333333333334</v>
          </cell>
        </row>
        <row r="3312">
          <cell r="L3312" t="str">
            <v>Unknown</v>
          </cell>
          <cell r="M3312">
            <v>-29.65</v>
          </cell>
        </row>
        <row r="3313">
          <cell r="L3313" t="str">
            <v>Holiday</v>
          </cell>
          <cell r="M3313">
            <v>-309.42083333333335</v>
          </cell>
        </row>
        <row r="3314">
          <cell r="L3314" t="str">
            <v>Gifts</v>
          </cell>
          <cell r="M3314">
            <v>-246.74583333333337</v>
          </cell>
        </row>
        <row r="3315">
          <cell r="L3315" t="str">
            <v>Unknown</v>
          </cell>
          <cell r="M3315">
            <v>-58.720833333333339</v>
          </cell>
        </row>
        <row r="3316">
          <cell r="L3316" t="str">
            <v>Eating Out</v>
          </cell>
          <cell r="M3316">
            <v>-31.091666666666669</v>
          </cell>
        </row>
        <row r="3317">
          <cell r="L3317" t="str">
            <v>Minerva Agent</v>
          </cell>
          <cell r="M3317">
            <v>-22.008333333333333</v>
          </cell>
        </row>
        <row r="3318">
          <cell r="L3318" t="str">
            <v>Minerva Agent</v>
          </cell>
          <cell r="M3318">
            <v>-81.733333333333334</v>
          </cell>
        </row>
        <row r="3319">
          <cell r="L3319" t="str">
            <v>Unknown</v>
          </cell>
          <cell r="M3319">
            <v>-751.23750000000007</v>
          </cell>
        </row>
        <row r="3320">
          <cell r="L3320" t="str">
            <v>Unknown</v>
          </cell>
          <cell r="M3320">
            <v>-50</v>
          </cell>
        </row>
        <row r="3321">
          <cell r="L3321" t="str">
            <v>Eating Out</v>
          </cell>
          <cell r="M3321">
            <v>-35.154166666666669</v>
          </cell>
        </row>
        <row r="3322">
          <cell r="L3322" t="str">
            <v>Wool</v>
          </cell>
          <cell r="M3322">
            <v>-57.56666666666667</v>
          </cell>
        </row>
        <row r="3323">
          <cell r="L3323" t="str">
            <v>Groceries</v>
          </cell>
          <cell r="M3323">
            <v>-32.670833333333334</v>
          </cell>
        </row>
        <row r="3324">
          <cell r="L3324" t="str">
            <v>Department Store</v>
          </cell>
          <cell r="M3324">
            <v>-112.04166666666666</v>
          </cell>
        </row>
        <row r="3325">
          <cell r="L3325" t="str">
            <v>Eating Out</v>
          </cell>
          <cell r="M3325">
            <v>-23.024999999999999</v>
          </cell>
        </row>
        <row r="3326">
          <cell r="L3326" t="str">
            <v>Unknown</v>
          </cell>
          <cell r="M3326">
            <v>-137.44166666666669</v>
          </cell>
        </row>
        <row r="3327">
          <cell r="L3327" t="str">
            <v>Eating Out</v>
          </cell>
          <cell r="M3327">
            <v>-106.64583333333333</v>
          </cell>
        </row>
        <row r="3328">
          <cell r="L3328" t="str">
            <v>Doctor</v>
          </cell>
          <cell r="M3328">
            <v>-130.61666666666667</v>
          </cell>
        </row>
        <row r="3329">
          <cell r="L3329" t="str">
            <v>Autumn Gas</v>
          </cell>
          <cell r="M3329">
            <v>-352.27083333333337</v>
          </cell>
        </row>
        <row r="3330">
          <cell r="L3330" t="str">
            <v>Groceries</v>
          </cell>
          <cell r="M3330">
            <v>-73.6875</v>
          </cell>
        </row>
        <row r="3331">
          <cell r="L3331" t="str">
            <v>Books, Videos, Magazines</v>
          </cell>
          <cell r="M3331">
            <v>-153.30416666666667</v>
          </cell>
        </row>
        <row r="3332">
          <cell r="L3332" t="str">
            <v>Eating Out</v>
          </cell>
          <cell r="M3332">
            <v>-55.616666666666667</v>
          </cell>
        </row>
        <row r="3333">
          <cell r="L3333" t="str">
            <v>Unknown</v>
          </cell>
          <cell r="M3333">
            <v>-100.98333333333335</v>
          </cell>
        </row>
        <row r="3334">
          <cell r="L3334" t="str">
            <v>Eating Out</v>
          </cell>
          <cell r="M3334">
            <v>-67.325000000000003</v>
          </cell>
        </row>
        <row r="3335">
          <cell r="L3335" t="str">
            <v>Eating Out</v>
          </cell>
          <cell r="M3335">
            <v>-40.979166666666664</v>
          </cell>
        </row>
        <row r="3336">
          <cell r="L3336" t="str">
            <v>Dont Account For</v>
          </cell>
          <cell r="M3336">
            <v>-43.758333333333333</v>
          </cell>
        </row>
        <row r="3337">
          <cell r="L3337" t="str">
            <v>Regular Cost</v>
          </cell>
          <cell r="M3337">
            <v>-435.41250000000002</v>
          </cell>
        </row>
        <row r="3338">
          <cell r="L3338" t="str">
            <v>Computer Hardware</v>
          </cell>
          <cell r="M3338">
            <v>-36.208333333333336</v>
          </cell>
        </row>
        <row r="3339">
          <cell r="L3339" t="str">
            <v>Eating Out</v>
          </cell>
          <cell r="M3339">
            <v>-50</v>
          </cell>
        </row>
        <row r="3340">
          <cell r="L3340" t="str">
            <v>Groceries</v>
          </cell>
          <cell r="M3340">
            <v>-18.616666666666667</v>
          </cell>
        </row>
        <row r="3341">
          <cell r="L3341" t="str">
            <v>Eating Out</v>
          </cell>
          <cell r="M3341">
            <v>-33.945833333333333</v>
          </cell>
        </row>
        <row r="3342">
          <cell r="L3342" t="str">
            <v>Dont Account For</v>
          </cell>
          <cell r="M3342">
            <v>-96</v>
          </cell>
        </row>
        <row r="3343">
          <cell r="L3343" t="str">
            <v>Regular Cost</v>
          </cell>
          <cell r="M3343">
            <v>-9509.35</v>
          </cell>
        </row>
        <row r="3344">
          <cell r="L3344" t="str">
            <v>Unknown</v>
          </cell>
          <cell r="M3344">
            <v>-62.112499999999997</v>
          </cell>
        </row>
        <row r="3345">
          <cell r="L3345" t="str">
            <v>Car City Link</v>
          </cell>
          <cell r="M3345">
            <v>-16.362500000000001</v>
          </cell>
        </row>
        <row r="3346">
          <cell r="L3346" t="str">
            <v>Unknown</v>
          </cell>
          <cell r="M3346">
            <v>-94.108333333333348</v>
          </cell>
        </row>
        <row r="3347">
          <cell r="L3347" t="str">
            <v>Department Store</v>
          </cell>
          <cell r="M3347">
            <v>-274.29583333333335</v>
          </cell>
        </row>
        <row r="3348">
          <cell r="L3348" t="str">
            <v>Groceries</v>
          </cell>
          <cell r="M3348">
            <v>-106.5125</v>
          </cell>
        </row>
        <row r="3349">
          <cell r="L3349" t="str">
            <v>Unknown</v>
          </cell>
          <cell r="M3349">
            <v>-70.862499999999997</v>
          </cell>
        </row>
        <row r="3350">
          <cell r="L3350" t="str">
            <v>Groceries</v>
          </cell>
          <cell r="M3350">
            <v>-376.85416666666669</v>
          </cell>
        </row>
        <row r="3351">
          <cell r="L3351" t="str">
            <v>Dont Account For</v>
          </cell>
          <cell r="M3351">
            <v>-46.5</v>
          </cell>
        </row>
        <row r="3352">
          <cell r="L3352" t="str">
            <v>Dont Account For</v>
          </cell>
          <cell r="M3352">
            <v>-25.45</v>
          </cell>
        </row>
        <row r="3353">
          <cell r="L3353" t="str">
            <v>Unknown</v>
          </cell>
          <cell r="M3353">
            <v>-150</v>
          </cell>
        </row>
        <row r="3354">
          <cell r="L3354" t="str">
            <v>Clothing</v>
          </cell>
          <cell r="M3354">
            <v>-178.73750000000001</v>
          </cell>
        </row>
        <row r="3355">
          <cell r="L3355" t="str">
            <v>Books, Videos, Magazines</v>
          </cell>
          <cell r="M3355">
            <v>-41.266666666666673</v>
          </cell>
        </row>
        <row r="3356">
          <cell r="L3356" t="str">
            <v>Groceries</v>
          </cell>
          <cell r="M3356">
            <v>-271.45000000000005</v>
          </cell>
        </row>
        <row r="3357">
          <cell r="L3357" t="str">
            <v>Regular Cost</v>
          </cell>
          <cell r="M3357">
            <v>-38.712499999999999</v>
          </cell>
        </row>
        <row r="3358">
          <cell r="L3358" t="str">
            <v>VOIP</v>
          </cell>
          <cell r="M3358">
            <v>-83.341666666666669</v>
          </cell>
        </row>
        <row r="3359">
          <cell r="L3359" t="str">
            <v>Eating Out</v>
          </cell>
          <cell r="M3359">
            <v>-66.991666666666674</v>
          </cell>
        </row>
        <row r="3360">
          <cell r="L3360" t="str">
            <v>Dont Account For</v>
          </cell>
          <cell r="M3360">
            <v>-92.504166666666663</v>
          </cell>
        </row>
        <row r="3361">
          <cell r="L3361" t="str">
            <v>Unknown</v>
          </cell>
          <cell r="M3361">
            <v>-37.991666666666674</v>
          </cell>
        </row>
        <row r="3362">
          <cell r="L3362" t="str">
            <v>Department Store</v>
          </cell>
          <cell r="M3362">
            <v>-251.9666666666667</v>
          </cell>
        </row>
        <row r="3363">
          <cell r="L3363" t="str">
            <v>Charity</v>
          </cell>
          <cell r="M3363">
            <v>-84.954166666666666</v>
          </cell>
        </row>
        <row r="3364">
          <cell r="L3364" t="str">
            <v>Chemist</v>
          </cell>
          <cell r="M3364">
            <v>-13.75</v>
          </cell>
        </row>
        <row r="3365">
          <cell r="L3365" t="str">
            <v>Dont Account For</v>
          </cell>
          <cell r="M3365">
            <v>2083.3333333333335</v>
          </cell>
        </row>
        <row r="3366">
          <cell r="L3366" t="str">
            <v>Unknown</v>
          </cell>
          <cell r="M3366">
            <v>-70.44583333333334</v>
          </cell>
        </row>
        <row r="3367">
          <cell r="L3367" t="str">
            <v>Petrol</v>
          </cell>
          <cell r="M3367">
            <v>-113.22916666666667</v>
          </cell>
        </row>
        <row r="3368">
          <cell r="L3368" t="str">
            <v>Doctor</v>
          </cell>
          <cell r="M3368">
            <v>-78.708333333333343</v>
          </cell>
        </row>
        <row r="3369">
          <cell r="L3369" t="str">
            <v>Dont Account For</v>
          </cell>
          <cell r="M3369">
            <v>-9.4499999999999993</v>
          </cell>
        </row>
        <row r="3370">
          <cell r="L3370" t="str">
            <v>Groceries</v>
          </cell>
          <cell r="M3370">
            <v>-25.08</v>
          </cell>
        </row>
        <row r="3371">
          <cell r="L3371" t="str">
            <v>Groceries</v>
          </cell>
          <cell r="M3371">
            <v>-60.95</v>
          </cell>
        </row>
        <row r="3372">
          <cell r="L3372" t="str">
            <v>Medicare Refund</v>
          </cell>
          <cell r="M3372">
            <v>32.799999999999997</v>
          </cell>
        </row>
        <row r="3373">
          <cell r="L3373" t="str">
            <v>Groceries</v>
          </cell>
          <cell r="M3373">
            <v>-62.487500000000004</v>
          </cell>
        </row>
        <row r="3374">
          <cell r="L3374" t="str">
            <v>Clothing</v>
          </cell>
          <cell r="M3374">
            <v>-27.620833333333337</v>
          </cell>
        </row>
        <row r="3375">
          <cell r="L3375" t="str">
            <v>Groceries</v>
          </cell>
          <cell r="M3375">
            <v>-89.404166666666669</v>
          </cell>
        </row>
        <row r="3376">
          <cell r="L3376" t="str">
            <v>Doctor</v>
          </cell>
          <cell r="M3376">
            <v>-76.787499999999994</v>
          </cell>
        </row>
        <row r="3377">
          <cell r="L3377" t="str">
            <v>Household Items</v>
          </cell>
          <cell r="M3377">
            <v>-10</v>
          </cell>
        </row>
        <row r="3378">
          <cell r="L3378" t="str">
            <v>Gifts</v>
          </cell>
          <cell r="M3378">
            <v>-56.270833333333343</v>
          </cell>
        </row>
        <row r="3379">
          <cell r="L3379" t="str">
            <v>Dont Account For</v>
          </cell>
          <cell r="M3379">
            <v>-104.33750000000001</v>
          </cell>
        </row>
        <row r="3380">
          <cell r="L3380" t="str">
            <v>Eating Out</v>
          </cell>
          <cell r="M3380">
            <v>-50.391666666666666</v>
          </cell>
        </row>
        <row r="3381">
          <cell r="L3381" t="str">
            <v>Groceries</v>
          </cell>
          <cell r="M3381">
            <v>-20.870833333333337</v>
          </cell>
        </row>
        <row r="3382">
          <cell r="L3382" t="str">
            <v>Groceries</v>
          </cell>
          <cell r="M3382">
            <v>-107.4</v>
          </cell>
        </row>
        <row r="3383">
          <cell r="L3383" t="str">
            <v>Unknown</v>
          </cell>
          <cell r="M3383">
            <v>-50</v>
          </cell>
        </row>
        <row r="3384">
          <cell r="L3384" t="str">
            <v>Bank Charges</v>
          </cell>
          <cell r="M3384">
            <v>-1.5</v>
          </cell>
        </row>
        <row r="3385">
          <cell r="L3385" t="str">
            <v>Chemist</v>
          </cell>
          <cell r="M3385">
            <v>-36.041666666666671</v>
          </cell>
        </row>
        <row r="3386">
          <cell r="L3386" t="str">
            <v>Groceries</v>
          </cell>
          <cell r="M3386">
            <v>-106.04166666666667</v>
          </cell>
        </row>
        <row r="3387">
          <cell r="L3387" t="str">
            <v>Cinema</v>
          </cell>
          <cell r="M3387">
            <v>-37.575000000000003</v>
          </cell>
        </row>
        <row r="3388">
          <cell r="L3388" t="str">
            <v>Doctor</v>
          </cell>
          <cell r="M3388">
            <v>-259.375</v>
          </cell>
        </row>
        <row r="3389">
          <cell r="L3389" t="str">
            <v>Groceries</v>
          </cell>
          <cell r="M3389">
            <v>-39.6</v>
          </cell>
        </row>
        <row r="3390">
          <cell r="L3390" t="str">
            <v>Groceries</v>
          </cell>
          <cell r="M3390">
            <v>-151.93333333333334</v>
          </cell>
        </row>
        <row r="3391">
          <cell r="L3391" t="str">
            <v>Chemist</v>
          </cell>
          <cell r="M3391">
            <v>-41.333333333333336</v>
          </cell>
        </row>
        <row r="3392">
          <cell r="L3392" t="str">
            <v>Dont Account For</v>
          </cell>
          <cell r="M3392">
            <v>-30.487500000000001</v>
          </cell>
        </row>
        <row r="3393">
          <cell r="L3393" t="str">
            <v>Eating Out</v>
          </cell>
          <cell r="M3393">
            <v>-120.17083333333335</v>
          </cell>
        </row>
        <row r="3394">
          <cell r="L3394" t="str">
            <v>Groceries</v>
          </cell>
          <cell r="M3394">
            <v>-51.954166666666666</v>
          </cell>
        </row>
        <row r="3395">
          <cell r="L3395" t="str">
            <v>Unknown</v>
          </cell>
          <cell r="M3395">
            <v>-20</v>
          </cell>
        </row>
        <row r="3396">
          <cell r="L3396" t="str">
            <v>Dont Account For</v>
          </cell>
          <cell r="M3396">
            <v>-110.35833333333335</v>
          </cell>
        </row>
        <row r="3397">
          <cell r="L3397" t="str">
            <v>Dont Account For</v>
          </cell>
          <cell r="M3397">
            <v>-101</v>
          </cell>
        </row>
        <row r="3398">
          <cell r="L3398" t="str">
            <v>Regular Cost</v>
          </cell>
          <cell r="M3398">
            <v>-43.150000000000006</v>
          </cell>
        </row>
        <row r="3399">
          <cell r="L3399" t="str">
            <v>Doctor</v>
          </cell>
          <cell r="M3399">
            <v>-56.637500000000003</v>
          </cell>
        </row>
        <row r="3400">
          <cell r="L3400" t="str">
            <v>Dont Account For</v>
          </cell>
          <cell r="M3400">
            <v>-28.783333333333335</v>
          </cell>
        </row>
        <row r="3401">
          <cell r="L3401" t="str">
            <v>Doctor</v>
          </cell>
          <cell r="M3401">
            <v>-253.22083333333336</v>
          </cell>
        </row>
        <row r="3402">
          <cell r="L3402" t="str">
            <v>Books, Videos, Magazines</v>
          </cell>
          <cell r="M3402">
            <v>-216.28750000000002</v>
          </cell>
        </row>
        <row r="3403">
          <cell r="L3403" t="str">
            <v>Groceries</v>
          </cell>
          <cell r="M3403">
            <v>-21.845833333333335</v>
          </cell>
        </row>
        <row r="3404">
          <cell r="L3404" t="str">
            <v>Groceries</v>
          </cell>
          <cell r="M3404">
            <v>-273.05833333333334</v>
          </cell>
        </row>
        <row r="3405">
          <cell r="L3405" t="str">
            <v>Petrol</v>
          </cell>
          <cell r="M3405">
            <v>-101.425</v>
          </cell>
        </row>
        <row r="3406">
          <cell r="L3406" t="str">
            <v>Books, Videos, Magazines</v>
          </cell>
          <cell r="M3406">
            <v>-144.73750000000001</v>
          </cell>
        </row>
        <row r="3407">
          <cell r="L3407" t="str">
            <v>Regular Cost</v>
          </cell>
          <cell r="M3407">
            <v>-21.845833333333335</v>
          </cell>
        </row>
        <row r="3408">
          <cell r="L3408" t="str">
            <v>Dont Account For</v>
          </cell>
          <cell r="M3408">
            <v>1000</v>
          </cell>
        </row>
        <row r="3409">
          <cell r="L3409" t="str">
            <v>Chemist</v>
          </cell>
          <cell r="M3409">
            <v>-16.183333333333337</v>
          </cell>
        </row>
        <row r="3410">
          <cell r="L3410" t="str">
            <v>Unknown</v>
          </cell>
          <cell r="M3410">
            <v>-58.033333333333339</v>
          </cell>
        </row>
        <row r="3411">
          <cell r="L3411" t="str">
            <v>Groceries</v>
          </cell>
          <cell r="M3411">
            <v>-25</v>
          </cell>
        </row>
        <row r="3412">
          <cell r="L3412" t="str">
            <v>Dont Account For</v>
          </cell>
          <cell r="M3412">
            <v>3333.3333333333335</v>
          </cell>
        </row>
        <row r="3413">
          <cell r="L3413" t="str">
            <v>Groceries</v>
          </cell>
          <cell r="M3413">
            <v>-131.19999999999999</v>
          </cell>
        </row>
        <row r="3414">
          <cell r="L3414" t="str">
            <v>Dont Account For</v>
          </cell>
          <cell r="M3414">
            <v>-54.354166666666664</v>
          </cell>
        </row>
        <row r="3415">
          <cell r="L3415" t="str">
            <v>Dont Account For</v>
          </cell>
          <cell r="M3415">
            <v>-105.6</v>
          </cell>
        </row>
        <row r="3416">
          <cell r="L3416" t="str">
            <v>Groceries</v>
          </cell>
          <cell r="M3416">
            <v>-110.20416666666668</v>
          </cell>
        </row>
        <row r="3417">
          <cell r="L3417" t="str">
            <v>Groceries</v>
          </cell>
          <cell r="M3417">
            <v>-115.64583333333334</v>
          </cell>
        </row>
        <row r="3418">
          <cell r="L3418" t="str">
            <v>Computer Software</v>
          </cell>
          <cell r="M3418">
            <v>-107.70833333333334</v>
          </cell>
        </row>
        <row r="3419">
          <cell r="L3419" t="str">
            <v>Computer Books</v>
          </cell>
          <cell r="M3419">
            <v>-81.95</v>
          </cell>
        </row>
        <row r="3420">
          <cell r="L3420" t="str">
            <v>Computer Hardware</v>
          </cell>
          <cell r="M3420">
            <v>-265.25</v>
          </cell>
        </row>
        <row r="3421">
          <cell r="L3421" t="str">
            <v>Chemist</v>
          </cell>
          <cell r="M3421">
            <v>-48.654166666666669</v>
          </cell>
        </row>
        <row r="3422">
          <cell r="L3422" t="str">
            <v>Optus Mobile</v>
          </cell>
          <cell r="M3422">
            <v>-135.74166666666667</v>
          </cell>
        </row>
        <row r="3423">
          <cell r="L3423" t="str">
            <v>Optus Home Phone</v>
          </cell>
          <cell r="M3423">
            <v>-102.53750000000001</v>
          </cell>
        </row>
        <row r="3424">
          <cell r="L3424" t="str">
            <v>Dont Account For</v>
          </cell>
          <cell r="M3424">
            <v>-343.12083333333334</v>
          </cell>
        </row>
        <row r="3425">
          <cell r="L3425" t="str">
            <v>Regular Cost</v>
          </cell>
          <cell r="M3425">
            <v>-373.38749999999999</v>
          </cell>
        </row>
        <row r="3426">
          <cell r="L3426" t="str">
            <v>Regular Cost</v>
          </cell>
          <cell r="M3426">
            <v>-288.36250000000001</v>
          </cell>
        </row>
        <row r="3427">
          <cell r="L3427" t="str">
            <v>Regular Cost</v>
          </cell>
          <cell r="M3427">
            <v>-349.98750000000001</v>
          </cell>
        </row>
        <row r="3428">
          <cell r="L3428" t="str">
            <v>Clothing</v>
          </cell>
          <cell r="M3428">
            <v>-52.841666666666669</v>
          </cell>
        </row>
        <row r="3429">
          <cell r="L3429" t="str">
            <v>Regular Cost</v>
          </cell>
          <cell r="M3429">
            <v>-43.920833333333334</v>
          </cell>
        </row>
        <row r="3430">
          <cell r="L3430" t="str">
            <v>Dont Account For</v>
          </cell>
          <cell r="M3430">
            <v>140</v>
          </cell>
        </row>
        <row r="3431">
          <cell r="L3431" t="str">
            <v>Unknown</v>
          </cell>
          <cell r="M3431">
            <v>-570.44583333333333</v>
          </cell>
        </row>
        <row r="3432">
          <cell r="L3432" t="str">
            <v>Unknown</v>
          </cell>
          <cell r="M3432">
            <v>-100</v>
          </cell>
        </row>
        <row r="3433">
          <cell r="L3433" t="str">
            <v>Unknown</v>
          </cell>
          <cell r="M3433">
            <v>-200</v>
          </cell>
        </row>
        <row r="3434">
          <cell r="L3434" t="str">
            <v>Bank Charges</v>
          </cell>
          <cell r="M3434">
            <v>-1.5</v>
          </cell>
        </row>
        <row r="3435">
          <cell r="L3435" t="str">
            <v>Eating Out</v>
          </cell>
          <cell r="M3435">
            <v>-25.233333333333334</v>
          </cell>
        </row>
        <row r="3436">
          <cell r="L3436" t="str">
            <v>Dont Account For</v>
          </cell>
          <cell r="M3436">
            <v>-6.7583333333333329</v>
          </cell>
        </row>
        <row r="3437">
          <cell r="L3437" t="str">
            <v>Unknown</v>
          </cell>
          <cell r="M3437">
            <v>-93.729166666666671</v>
          </cell>
        </row>
        <row r="3438">
          <cell r="L3438" t="str">
            <v>Regular Cost</v>
          </cell>
          <cell r="M3438">
            <v>-132.13750000000002</v>
          </cell>
        </row>
        <row r="3439">
          <cell r="L3439" t="str">
            <v>Dont Account For</v>
          </cell>
          <cell r="M3439">
            <v>-102.93750000000001</v>
          </cell>
        </row>
        <row r="3440">
          <cell r="L3440" t="str">
            <v>Dont Account For</v>
          </cell>
          <cell r="M3440">
            <v>-6.85</v>
          </cell>
        </row>
        <row r="3441">
          <cell r="L3441" t="str">
            <v>Unknown</v>
          </cell>
          <cell r="M3441">
            <v>-79.079166666666666</v>
          </cell>
        </row>
        <row r="3442">
          <cell r="L3442" t="str">
            <v>Unknown</v>
          </cell>
          <cell r="M3442">
            <v>-17.591666666666669</v>
          </cell>
        </row>
        <row r="3443">
          <cell r="L3443" t="str">
            <v>Groceries</v>
          </cell>
          <cell r="M3443">
            <v>-96.520833333333343</v>
          </cell>
        </row>
        <row r="3444">
          <cell r="L3444" t="str">
            <v>Car City Link</v>
          </cell>
          <cell r="M3444">
            <v>-15.566666666666666</v>
          </cell>
        </row>
        <row r="3445">
          <cell r="L3445" t="str">
            <v>Gifts</v>
          </cell>
          <cell r="M3445">
            <v>-67.487499999999997</v>
          </cell>
        </row>
        <row r="3446">
          <cell r="L3446" t="str">
            <v>Groceries</v>
          </cell>
          <cell r="M3446">
            <v>-23.425000000000001</v>
          </cell>
        </row>
        <row r="3447">
          <cell r="L3447" t="str">
            <v>Eating Out</v>
          </cell>
          <cell r="M3447">
            <v>-43.662500000000001</v>
          </cell>
        </row>
        <row r="3448">
          <cell r="L3448" t="str">
            <v>Eating Out</v>
          </cell>
          <cell r="M3448">
            <v>-44.075000000000003</v>
          </cell>
        </row>
        <row r="3449">
          <cell r="L3449" t="str">
            <v>Books, Videos, Magazines</v>
          </cell>
          <cell r="M3449">
            <v>-41.320833333333333</v>
          </cell>
        </row>
        <row r="3450">
          <cell r="L3450" t="str">
            <v>Books, Videos, Magazines</v>
          </cell>
          <cell r="M3450">
            <v>-168.02916666666667</v>
          </cell>
        </row>
        <row r="3451">
          <cell r="L3451" t="str">
            <v>Minerva Rent</v>
          </cell>
          <cell r="M3451">
            <v>0</v>
          </cell>
        </row>
        <row r="3452">
          <cell r="L3452" t="str">
            <v>Minerva Rent</v>
          </cell>
          <cell r="M3452">
            <v>2794.12</v>
          </cell>
        </row>
        <row r="3453">
          <cell r="L3453" t="str">
            <v>Minerva Agent</v>
          </cell>
          <cell r="M3453">
            <v>-238.62</v>
          </cell>
        </row>
        <row r="3454">
          <cell r="L3454" t="str">
            <v>Unknown</v>
          </cell>
          <cell r="M3454">
            <v>-150</v>
          </cell>
        </row>
        <row r="3455">
          <cell r="L3455" t="str">
            <v>Dont Account For</v>
          </cell>
          <cell r="M3455">
            <v>-136.46250000000001</v>
          </cell>
        </row>
        <row r="3456">
          <cell r="L3456" t="str">
            <v>Dont Account For</v>
          </cell>
          <cell r="M3456">
            <v>-100</v>
          </cell>
        </row>
        <row r="3457">
          <cell r="L3457" t="str">
            <v>Dont Account For</v>
          </cell>
          <cell r="M3457">
            <v>-20</v>
          </cell>
        </row>
        <row r="3458">
          <cell r="L3458" t="str">
            <v>Bank Charges</v>
          </cell>
          <cell r="M3458">
            <v>-11.4</v>
          </cell>
        </row>
        <row r="3459">
          <cell r="L3459" t="str">
            <v>Dont Account For</v>
          </cell>
          <cell r="M3459">
            <v>-123.675</v>
          </cell>
        </row>
        <row r="3460">
          <cell r="L3460" t="str">
            <v>Regular Cost</v>
          </cell>
          <cell r="M3460">
            <v>-97.337500000000006</v>
          </cell>
        </row>
        <row r="3461">
          <cell r="L3461" t="str">
            <v>Dont Account For</v>
          </cell>
          <cell r="M3461">
            <v>-41.758333333333333</v>
          </cell>
        </row>
        <row r="3462">
          <cell r="L3462" t="str">
            <v>Dont Account For</v>
          </cell>
          <cell r="M3462">
            <v>4166.666666666667</v>
          </cell>
        </row>
        <row r="3463">
          <cell r="L3463" t="str">
            <v>Dont Account For</v>
          </cell>
          <cell r="M3463">
            <v>6250</v>
          </cell>
        </row>
        <row r="3464">
          <cell r="L3464" t="str">
            <v>Eating Out</v>
          </cell>
          <cell r="M3464">
            <v>-12</v>
          </cell>
        </row>
        <row r="3465">
          <cell r="L3465" t="str">
            <v>Medicare Refund</v>
          </cell>
          <cell r="M3465">
            <v>65.7</v>
          </cell>
        </row>
        <row r="3466">
          <cell r="L3466" t="str">
            <v>Bank Charges</v>
          </cell>
          <cell r="M3466">
            <v>-2</v>
          </cell>
        </row>
        <row r="3467">
          <cell r="L3467" t="str">
            <v>Regular Cost</v>
          </cell>
          <cell r="M3467">
            <v>-180.97</v>
          </cell>
        </row>
        <row r="3468">
          <cell r="L3468" t="str">
            <v>Dont Account For</v>
          </cell>
          <cell r="M3468">
            <v>0.02</v>
          </cell>
        </row>
        <row r="3469">
          <cell r="L3469" t="str">
            <v>Bank Charges</v>
          </cell>
          <cell r="M3469">
            <v>-5</v>
          </cell>
        </row>
        <row r="3470">
          <cell r="L3470" t="str">
            <v>Dont Account For</v>
          </cell>
          <cell r="M3470">
            <v>-120.77500000000001</v>
          </cell>
        </row>
        <row r="3471">
          <cell r="L3471" t="str">
            <v>Dont Account For</v>
          </cell>
          <cell r="M3471">
            <v>0</v>
          </cell>
        </row>
        <row r="3472">
          <cell r="L3472" t="str">
            <v>Dont Account For</v>
          </cell>
          <cell r="M3472">
            <v>16202.083333333334</v>
          </cell>
        </row>
        <row r="3473">
          <cell r="L3473" t="str">
            <v>Dont Account For</v>
          </cell>
          <cell r="M3473">
            <v>1213.75</v>
          </cell>
        </row>
        <row r="3474">
          <cell r="L3474" t="str">
            <v>Dont Account For</v>
          </cell>
          <cell r="M3474">
            <v>-144.16666666666669</v>
          </cell>
        </row>
        <row r="3475">
          <cell r="L3475" t="str">
            <v>Dont Account For</v>
          </cell>
          <cell r="M3475">
            <v>-809.16666666666674</v>
          </cell>
        </row>
        <row r="3476">
          <cell r="L3476" t="str">
            <v>Dont Account For</v>
          </cell>
          <cell r="M3476">
            <v>-41.666666666666671</v>
          </cell>
        </row>
        <row r="3477">
          <cell r="L3477" t="str">
            <v>Dont Account For</v>
          </cell>
          <cell r="M3477">
            <v>-30.925000000000001</v>
          </cell>
        </row>
        <row r="3478">
          <cell r="L3478" t="str">
            <v>Dont Account For</v>
          </cell>
          <cell r="M3478">
            <v>-327.9375</v>
          </cell>
        </row>
        <row r="3479">
          <cell r="L3479" t="str">
            <v>Dont Account For</v>
          </cell>
          <cell r="M3479">
            <v>-483.33333333333337</v>
          </cell>
        </row>
        <row r="3480">
          <cell r="L3480" t="str">
            <v>Dont Account For</v>
          </cell>
          <cell r="M3480">
            <v>343.75</v>
          </cell>
        </row>
        <row r="3481">
          <cell r="L3481" t="str">
            <v>Dont Account For</v>
          </cell>
          <cell r="M3481">
            <v>-745.83333333333337</v>
          </cell>
        </row>
        <row r="3482">
          <cell r="L3482" t="str">
            <v>Dont Account For</v>
          </cell>
          <cell r="M3482">
            <v>-341.66666666666669</v>
          </cell>
        </row>
        <row r="3483">
          <cell r="L3483" t="str">
            <v>Dont Account For</v>
          </cell>
          <cell r="M3483">
            <v>-366.66666666666669</v>
          </cell>
        </row>
        <row r="3484">
          <cell r="L3484" t="str">
            <v>Dont Account For</v>
          </cell>
          <cell r="M3484">
            <v>-179.16666666666669</v>
          </cell>
        </row>
        <row r="3485">
          <cell r="L3485" t="str">
            <v>Dont Account For</v>
          </cell>
          <cell r="M3485">
            <v>-179.16666666666669</v>
          </cell>
        </row>
        <row r="3486">
          <cell r="L3486" t="str">
            <v>Dont Account For</v>
          </cell>
          <cell r="M3486">
            <v>-366.66666666666669</v>
          </cell>
        </row>
        <row r="3487">
          <cell r="L3487" t="str">
            <v>Dont Account For</v>
          </cell>
          <cell r="M3487">
            <v>1257.75</v>
          </cell>
        </row>
        <row r="3488">
          <cell r="L3488" t="str">
            <v>Dont Account For</v>
          </cell>
          <cell r="M3488">
            <v>-30.833333333333336</v>
          </cell>
        </row>
        <row r="3489">
          <cell r="L3489" t="str">
            <v>Dont Account For</v>
          </cell>
          <cell r="M3489">
            <v>-145.41666666666669</v>
          </cell>
        </row>
        <row r="3490">
          <cell r="L3490" t="str">
            <v>Dont Account For</v>
          </cell>
          <cell r="M3490">
            <v>-136.25</v>
          </cell>
        </row>
        <row r="3491">
          <cell r="L3491" t="str">
            <v>Dont Account For</v>
          </cell>
          <cell r="M3491">
            <v>-93.75</v>
          </cell>
        </row>
        <row r="3492">
          <cell r="L3492" t="str">
            <v>Dont Account For</v>
          </cell>
          <cell r="M3492">
            <v>-72.916666666666671</v>
          </cell>
        </row>
        <row r="3493">
          <cell r="L3493" t="str">
            <v>Eating Out</v>
          </cell>
          <cell r="M3493">
            <v>-29.166666666666668</v>
          </cell>
        </row>
        <row r="3494">
          <cell r="L3494" t="str">
            <v>Dont Account For</v>
          </cell>
          <cell r="M3494">
            <v>-52.083333333333336</v>
          </cell>
        </row>
        <row r="3495">
          <cell r="L3495" t="str">
            <v>Chemist</v>
          </cell>
          <cell r="M3495">
            <v>-54.462500000000006</v>
          </cell>
        </row>
        <row r="3496">
          <cell r="L3496" t="str">
            <v>Petrol</v>
          </cell>
          <cell r="M3496">
            <v>-38.716666666666669</v>
          </cell>
        </row>
        <row r="3497">
          <cell r="L3497" t="str">
            <v>Department Store</v>
          </cell>
          <cell r="M3497">
            <v>-370.00416666666666</v>
          </cell>
        </row>
        <row r="3498">
          <cell r="L3498" t="str">
            <v>Unknown</v>
          </cell>
          <cell r="M3498">
            <v>-30</v>
          </cell>
        </row>
        <row r="3499">
          <cell r="L3499" t="str">
            <v>Dont Account For</v>
          </cell>
          <cell r="M3499">
            <v>-78.958333333333343</v>
          </cell>
        </row>
        <row r="3500">
          <cell r="L3500" t="str">
            <v>Dont Account For</v>
          </cell>
          <cell r="M3500">
            <v>-46.5</v>
          </cell>
        </row>
        <row r="3501">
          <cell r="L3501" t="str">
            <v>Dont Account For</v>
          </cell>
          <cell r="M3501">
            <v>-70.833333333333343</v>
          </cell>
        </row>
        <row r="3502">
          <cell r="L3502" t="str">
            <v>Dont Account For</v>
          </cell>
          <cell r="M3502">
            <v>-114.58333333333334</v>
          </cell>
        </row>
        <row r="3503">
          <cell r="L3503" t="str">
            <v>Eating Out</v>
          </cell>
          <cell r="M3503">
            <v>-31.325000000000003</v>
          </cell>
        </row>
        <row r="3504">
          <cell r="L3504" t="str">
            <v>Uniforms</v>
          </cell>
          <cell r="M3504">
            <v>-169.11250000000001</v>
          </cell>
        </row>
        <row r="3505">
          <cell r="L3505" t="str">
            <v>Petrol</v>
          </cell>
          <cell r="M3505">
            <v>-31.712500000000002</v>
          </cell>
        </row>
        <row r="3506">
          <cell r="L3506" t="str">
            <v>Groceries</v>
          </cell>
          <cell r="M3506">
            <v>-16.270833333333332</v>
          </cell>
        </row>
        <row r="3507">
          <cell r="L3507" t="str">
            <v>Dont Account For</v>
          </cell>
          <cell r="M3507">
            <v>-99.291666666666671</v>
          </cell>
        </row>
        <row r="3508">
          <cell r="L3508" t="str">
            <v>Dont Account For</v>
          </cell>
          <cell r="M3508">
            <v>-70.833333333333343</v>
          </cell>
        </row>
        <row r="3509">
          <cell r="L3509" t="str">
            <v>Dont Account For</v>
          </cell>
          <cell r="M3509">
            <v>-22.083333333333336</v>
          </cell>
        </row>
        <row r="3510">
          <cell r="L3510" t="str">
            <v>Activities</v>
          </cell>
          <cell r="M3510">
            <v>-9.2375000000000007</v>
          </cell>
        </row>
        <row r="3511">
          <cell r="L3511" t="str">
            <v>Dont Account For</v>
          </cell>
          <cell r="M3511">
            <v>-83.333333333333343</v>
          </cell>
        </row>
        <row r="3512">
          <cell r="L3512" t="str">
            <v>Dont Account For</v>
          </cell>
          <cell r="M3512">
            <v>-53.75</v>
          </cell>
        </row>
        <row r="3513">
          <cell r="L3513" t="str">
            <v>Dont Account For</v>
          </cell>
          <cell r="M3513">
            <v>-65.145833333333329</v>
          </cell>
        </row>
        <row r="3514">
          <cell r="L3514" t="str">
            <v>Unknown</v>
          </cell>
          <cell r="M3514">
            <v>-30.245833333333337</v>
          </cell>
        </row>
        <row r="3515">
          <cell r="L3515" t="str">
            <v>Associations</v>
          </cell>
          <cell r="M3515">
            <v>-137.47499999999999</v>
          </cell>
        </row>
        <row r="3516">
          <cell r="L3516" t="str">
            <v>Unknown</v>
          </cell>
          <cell r="M3516">
            <v>-50</v>
          </cell>
        </row>
        <row r="3517">
          <cell r="L3517" t="str">
            <v>Dont Account For</v>
          </cell>
          <cell r="M3517">
            <v>-32.083333333333336</v>
          </cell>
        </row>
        <row r="3518">
          <cell r="L3518" t="str">
            <v>Dont Account For</v>
          </cell>
          <cell r="M3518">
            <v>-57.916666666666671</v>
          </cell>
        </row>
        <row r="3519">
          <cell r="L3519" t="str">
            <v>Dont Account For</v>
          </cell>
          <cell r="M3519">
            <v>-18.333333333333336</v>
          </cell>
        </row>
        <row r="3520">
          <cell r="L3520" t="str">
            <v>Dont Account For</v>
          </cell>
          <cell r="M3520">
            <v>-74.75</v>
          </cell>
        </row>
        <row r="3521">
          <cell r="L3521" t="str">
            <v>Dont Account For</v>
          </cell>
          <cell r="M3521">
            <v>-40.416666666666671</v>
          </cell>
        </row>
        <row r="3522">
          <cell r="L3522" t="str">
            <v>Dont Account For</v>
          </cell>
          <cell r="M3522">
            <v>-200</v>
          </cell>
        </row>
        <row r="3523">
          <cell r="L3523" t="str">
            <v>Regular Cost</v>
          </cell>
          <cell r="M3523">
            <v>-38.683333333333337</v>
          </cell>
        </row>
        <row r="3524">
          <cell r="L3524" t="str">
            <v>Dont Account For</v>
          </cell>
          <cell r="M3524">
            <v>-151.91666666666669</v>
          </cell>
        </row>
        <row r="3525">
          <cell r="L3525" t="str">
            <v>Minerva WaterSewage</v>
          </cell>
          <cell r="M3525">
            <v>-153.54166666666669</v>
          </cell>
        </row>
        <row r="3526">
          <cell r="L3526" t="str">
            <v>Dont Account For</v>
          </cell>
          <cell r="M3526">
            <v>-83.6875</v>
          </cell>
        </row>
        <row r="3527">
          <cell r="L3527" t="str">
            <v>Dont Account For</v>
          </cell>
          <cell r="M3527">
            <v>-86.020833333333329</v>
          </cell>
        </row>
        <row r="3528">
          <cell r="L3528" t="str">
            <v>Dont Account For</v>
          </cell>
          <cell r="M3528">
            <v>-116.81250000000001</v>
          </cell>
        </row>
        <row r="3529">
          <cell r="L3529" t="str">
            <v>Dont Account For</v>
          </cell>
          <cell r="M3529">
            <v>-216.25</v>
          </cell>
        </row>
        <row r="3530">
          <cell r="L3530" t="str">
            <v>Dont Account For</v>
          </cell>
          <cell r="M3530">
            <v>-112.5</v>
          </cell>
        </row>
        <row r="3531">
          <cell r="L3531" t="str">
            <v>Dont Account For</v>
          </cell>
          <cell r="M3531">
            <v>-84.375</v>
          </cell>
        </row>
        <row r="3532">
          <cell r="L3532" t="str">
            <v>Dont Account For</v>
          </cell>
          <cell r="M3532">
            <v>-129.16666666666669</v>
          </cell>
        </row>
        <row r="3533">
          <cell r="L3533" t="str">
            <v>Dont Account For</v>
          </cell>
          <cell r="M3533">
            <v>-54.166666666666671</v>
          </cell>
        </row>
        <row r="3534">
          <cell r="L3534" t="str">
            <v>Dont Account For</v>
          </cell>
          <cell r="M3534">
            <v>-65.416666666666671</v>
          </cell>
        </row>
        <row r="3535">
          <cell r="L3535" t="str">
            <v>Dont Account For</v>
          </cell>
          <cell r="M3535">
            <v>-43.333333333333336</v>
          </cell>
        </row>
        <row r="3536">
          <cell r="L3536" t="str">
            <v>Dont Account For</v>
          </cell>
          <cell r="M3536">
            <v>-81.25</v>
          </cell>
        </row>
        <row r="3537">
          <cell r="L3537" t="str">
            <v>School Books</v>
          </cell>
          <cell r="M3537">
            <v>-334.83333333333337</v>
          </cell>
        </row>
        <row r="3538">
          <cell r="L3538" t="str">
            <v>VOIP</v>
          </cell>
          <cell r="M3538">
            <v>-41.445833333333333</v>
          </cell>
        </row>
        <row r="3539">
          <cell r="L3539" t="str">
            <v>Dont Account For</v>
          </cell>
          <cell r="M3539">
            <v>-18.333333333333336</v>
          </cell>
        </row>
        <row r="3540">
          <cell r="L3540" t="str">
            <v>Dont Account For</v>
          </cell>
          <cell r="M3540">
            <v>-41.645833333333336</v>
          </cell>
        </row>
        <row r="3541">
          <cell r="L3541" t="str">
            <v>Dont Account For</v>
          </cell>
          <cell r="M3541">
            <v>-174.54166666666666</v>
          </cell>
        </row>
        <row r="3542">
          <cell r="L3542" t="str">
            <v>Dont Account For</v>
          </cell>
          <cell r="M3542">
            <v>-62.916666666666671</v>
          </cell>
        </row>
        <row r="3543">
          <cell r="L3543" t="str">
            <v>Dont Account For</v>
          </cell>
          <cell r="M3543">
            <v>-25</v>
          </cell>
        </row>
        <row r="3544">
          <cell r="L3544" t="str">
            <v>Dont Account For</v>
          </cell>
          <cell r="M3544">
            <v>-19.875000000000004</v>
          </cell>
        </row>
        <row r="3545">
          <cell r="L3545" t="str">
            <v>Optus Mobile</v>
          </cell>
          <cell r="M3545">
            <v>-149.89583333333334</v>
          </cell>
        </row>
        <row r="3546">
          <cell r="L3546" t="str">
            <v>Optus Home Phone</v>
          </cell>
          <cell r="M3546">
            <v>-91.2</v>
          </cell>
        </row>
        <row r="3547">
          <cell r="L3547" t="str">
            <v>Dont Account For</v>
          </cell>
          <cell r="M3547">
            <v>-83.333333333333343</v>
          </cell>
        </row>
        <row r="3548">
          <cell r="L3548" t="str">
            <v>Dont Account For</v>
          </cell>
          <cell r="M3548">
            <v>-264.16666666666669</v>
          </cell>
        </row>
        <row r="3549">
          <cell r="L3549" t="str">
            <v>Dont Account For</v>
          </cell>
          <cell r="M3549">
            <v>-38.812500000000007</v>
          </cell>
        </row>
        <row r="3550">
          <cell r="L3550" t="str">
            <v>Dont Account For</v>
          </cell>
          <cell r="M3550">
            <v>-105.85416666666667</v>
          </cell>
        </row>
        <row r="3551">
          <cell r="L3551" t="str">
            <v>Dont Account For</v>
          </cell>
          <cell r="M3551">
            <v>-222.9375</v>
          </cell>
        </row>
        <row r="3552">
          <cell r="L3552" t="str">
            <v>Dont Account For</v>
          </cell>
          <cell r="M3552">
            <v>-77.000000000000014</v>
          </cell>
        </row>
        <row r="3553">
          <cell r="L3553" t="str">
            <v>Dont Account For</v>
          </cell>
          <cell r="M3553">
            <v>-107.19999999999999</v>
          </cell>
        </row>
        <row r="3554">
          <cell r="L3554" t="str">
            <v>Dont Account For</v>
          </cell>
          <cell r="M3554">
            <v>-100.65833333333335</v>
          </cell>
        </row>
        <row r="3555">
          <cell r="L3555" t="str">
            <v>Dont Account For</v>
          </cell>
          <cell r="M3555">
            <v>-198.75</v>
          </cell>
        </row>
        <row r="3556">
          <cell r="L3556" t="str">
            <v>Dont Account For</v>
          </cell>
          <cell r="M3556">
            <v>-52.4375</v>
          </cell>
        </row>
        <row r="3557">
          <cell r="L3557" t="str">
            <v>Dont Account For</v>
          </cell>
          <cell r="M3557">
            <v>-110.75000000000001</v>
          </cell>
        </row>
        <row r="3558">
          <cell r="L3558" t="str">
            <v>Dont Account For</v>
          </cell>
          <cell r="M3558">
            <v>-166.32916666666668</v>
          </cell>
        </row>
        <row r="3559">
          <cell r="L3559" t="str">
            <v>Dont Account For</v>
          </cell>
          <cell r="M3559">
            <v>-141.75</v>
          </cell>
        </row>
        <row r="3560">
          <cell r="L3560" t="str">
            <v>Dont Account For</v>
          </cell>
          <cell r="M3560">
            <v>-74.166666666666671</v>
          </cell>
        </row>
        <row r="3561">
          <cell r="L3561" t="str">
            <v>Dont Account For</v>
          </cell>
          <cell r="M3561">
            <v>-39.166666666666671</v>
          </cell>
        </row>
        <row r="3562">
          <cell r="L3562" t="str">
            <v>Unknown</v>
          </cell>
          <cell r="M3562">
            <v>-99.387500000000003</v>
          </cell>
        </row>
        <row r="3563">
          <cell r="L3563" t="str">
            <v>Dont Account For</v>
          </cell>
          <cell r="M3563">
            <v>-108.33333333333334</v>
          </cell>
        </row>
        <row r="3564">
          <cell r="L3564" t="str">
            <v>Dont Account For</v>
          </cell>
          <cell r="M3564">
            <v>8208.3333333333339</v>
          </cell>
        </row>
        <row r="3565">
          <cell r="L3565" t="str">
            <v>Autumn WaterSewage</v>
          </cell>
          <cell r="M3565">
            <v>-222.26249999999999</v>
          </cell>
        </row>
        <row r="3566">
          <cell r="L3566" t="str">
            <v>Regular Cost</v>
          </cell>
          <cell r="M3566">
            <v>-132.57500000000002</v>
          </cell>
        </row>
        <row r="3567">
          <cell r="L3567" t="str">
            <v>Dont Account For</v>
          </cell>
          <cell r="M3567">
            <v>3000</v>
          </cell>
        </row>
        <row r="3568">
          <cell r="L3568" t="str">
            <v>Dont Account For</v>
          </cell>
          <cell r="M3568">
            <v>-125</v>
          </cell>
        </row>
        <row r="3569">
          <cell r="L3569" t="str">
            <v>Dont Account For</v>
          </cell>
          <cell r="M3569">
            <v>-69.479166666666671</v>
          </cell>
        </row>
        <row r="3570">
          <cell r="L3570" t="str">
            <v>Dont Account For</v>
          </cell>
          <cell r="M3570">
            <v>-172.5</v>
          </cell>
        </row>
        <row r="3571">
          <cell r="L3571" t="str">
            <v>Dont Account For</v>
          </cell>
          <cell r="M3571">
            <v>-322.5</v>
          </cell>
        </row>
        <row r="3572">
          <cell r="L3572" t="str">
            <v>Minerva Rent</v>
          </cell>
          <cell r="M3572">
            <v>0</v>
          </cell>
        </row>
        <row r="3573">
          <cell r="L3573" t="str">
            <v>Minerva Rent</v>
          </cell>
          <cell r="M3573">
            <v>2794.12</v>
          </cell>
        </row>
        <row r="3574">
          <cell r="L3574" t="str">
            <v>Minerva Agent</v>
          </cell>
          <cell r="M3574">
            <v>-238.62</v>
          </cell>
        </row>
        <row r="3575">
          <cell r="L3575" t="str">
            <v>Dont Account For</v>
          </cell>
          <cell r="M3575">
            <v>-133.75</v>
          </cell>
        </row>
        <row r="3576">
          <cell r="L3576" t="str">
            <v>Dont Account For</v>
          </cell>
          <cell r="M3576">
            <v>-165.84583333333333</v>
          </cell>
        </row>
        <row r="3577">
          <cell r="L3577" t="str">
            <v>Dont Account For</v>
          </cell>
          <cell r="M3577">
            <v>-86.666666666666671</v>
          </cell>
        </row>
        <row r="3578">
          <cell r="L3578" t="str">
            <v>Dont Account For</v>
          </cell>
          <cell r="M3578">
            <v>-87.5</v>
          </cell>
        </row>
        <row r="3579">
          <cell r="L3579" t="str">
            <v>Regular Cost</v>
          </cell>
          <cell r="M3579">
            <v>-69.166666666666671</v>
          </cell>
        </row>
        <row r="3580">
          <cell r="L3580" t="str">
            <v>Unknown</v>
          </cell>
          <cell r="M3580">
            <v>0</v>
          </cell>
        </row>
        <row r="3581">
          <cell r="L3581" t="str">
            <v>Regular Cost</v>
          </cell>
          <cell r="M3581">
            <v>-96.987500000000011</v>
          </cell>
        </row>
        <row r="3582">
          <cell r="L3582" t="str">
            <v>Dont Account For</v>
          </cell>
          <cell r="M3582">
            <v>-87.5</v>
          </cell>
        </row>
        <row r="3583">
          <cell r="L3583" t="str">
            <v>Bank Charges</v>
          </cell>
          <cell r="M3583">
            <v>-2</v>
          </cell>
        </row>
        <row r="3584">
          <cell r="L3584" t="str">
            <v>Regular Cost</v>
          </cell>
          <cell r="M3584">
            <v>-180.97</v>
          </cell>
        </row>
        <row r="3585">
          <cell r="L3585" t="str">
            <v>Bank Charges</v>
          </cell>
          <cell r="M3585">
            <v>-5</v>
          </cell>
        </row>
        <row r="3586">
          <cell r="L3586" t="str">
            <v>Dont Account For</v>
          </cell>
          <cell r="M3586">
            <v>-182.60416666666669</v>
          </cell>
        </row>
        <row r="3587">
          <cell r="L3587" t="str">
            <v>Dont Account For</v>
          </cell>
          <cell r="M3587">
            <v>-791.25</v>
          </cell>
        </row>
        <row r="3588">
          <cell r="L3588" t="str">
            <v>Dont Account For</v>
          </cell>
          <cell r="M3588">
            <v>-83.333333333333343</v>
          </cell>
        </row>
        <row r="3589">
          <cell r="L3589" t="str">
            <v>Dont Account For</v>
          </cell>
          <cell r="M3589">
            <v>2375</v>
          </cell>
        </row>
        <row r="3590">
          <cell r="L3590" t="str">
            <v>Dont Account For</v>
          </cell>
          <cell r="M3590">
            <v>-66.666666666666671</v>
          </cell>
        </row>
        <row r="3591">
          <cell r="L3591" t="str">
            <v>Dont Account For</v>
          </cell>
          <cell r="M3591">
            <v>-57.5</v>
          </cell>
        </row>
        <row r="3592">
          <cell r="L3592" t="str">
            <v>Dont Account For</v>
          </cell>
          <cell r="M3592">
            <v>-96.8125</v>
          </cell>
        </row>
        <row r="3593">
          <cell r="L3593" t="str">
            <v>Dont Account For</v>
          </cell>
          <cell r="M3593">
            <v>-98.333333333333343</v>
          </cell>
        </row>
        <row r="3594">
          <cell r="L3594" t="str">
            <v>Activities</v>
          </cell>
          <cell r="M3594">
            <v>-9.2375000000000007</v>
          </cell>
        </row>
        <row r="3595">
          <cell r="L3595" t="str">
            <v>Dont Account For</v>
          </cell>
          <cell r="M3595">
            <v>-60</v>
          </cell>
        </row>
        <row r="3596">
          <cell r="L3596" t="str">
            <v>Dont Account For</v>
          </cell>
          <cell r="M3596">
            <v>-37.5</v>
          </cell>
        </row>
        <row r="3597">
          <cell r="L3597" t="str">
            <v>Dont Account For</v>
          </cell>
          <cell r="M3597">
            <v>-89.583333333333343</v>
          </cell>
        </row>
        <row r="3598">
          <cell r="L3598" t="str">
            <v>Dont Account For</v>
          </cell>
          <cell r="M3598">
            <v>-57.083333333333336</v>
          </cell>
        </row>
        <row r="3599">
          <cell r="L3599" t="str">
            <v>Dont Account For</v>
          </cell>
          <cell r="M3599">
            <v>-134.5625</v>
          </cell>
        </row>
        <row r="3600">
          <cell r="L3600" t="str">
            <v>Dont Account For</v>
          </cell>
          <cell r="M3600">
            <v>-85.833333333333343</v>
          </cell>
        </row>
        <row r="3601">
          <cell r="L3601" t="str">
            <v>Regular Cost</v>
          </cell>
          <cell r="M3601">
            <v>-38.629166666666663</v>
          </cell>
        </row>
        <row r="3602">
          <cell r="L3602" t="str">
            <v>Unknown</v>
          </cell>
          <cell r="M3602">
            <v>-372.62083333333334</v>
          </cell>
        </row>
        <row r="3603">
          <cell r="L3603" t="str">
            <v>Dont Account For</v>
          </cell>
          <cell r="M3603">
            <v>3063.7416666666668</v>
          </cell>
        </row>
        <row r="3604">
          <cell r="L3604" t="str">
            <v>VOIP</v>
          </cell>
          <cell r="M3604">
            <v>-21.358333333333334</v>
          </cell>
        </row>
        <row r="3605">
          <cell r="L3605" t="str">
            <v>Dont Account For</v>
          </cell>
          <cell r="M3605">
            <v>-1057.9041666666667</v>
          </cell>
        </row>
        <row r="3606">
          <cell r="L3606" t="str">
            <v>Dont Account For</v>
          </cell>
          <cell r="M3606">
            <v>-110.60833333333333</v>
          </cell>
        </row>
        <row r="3607">
          <cell r="L3607" t="str">
            <v>Dont Account For</v>
          </cell>
          <cell r="M3607">
            <v>-156.25</v>
          </cell>
        </row>
        <row r="3608">
          <cell r="L3608" t="str">
            <v>Regular Cost</v>
          </cell>
          <cell r="M3608">
            <v>-1536.2125000000001</v>
          </cell>
        </row>
        <row r="3609">
          <cell r="L3609" t="str">
            <v>Dont Account For</v>
          </cell>
          <cell r="M3609">
            <v>-148.75</v>
          </cell>
        </row>
        <row r="3610">
          <cell r="L3610" t="str">
            <v>Optus Home Phone</v>
          </cell>
          <cell r="M3610">
            <v>-54.604166666666671</v>
          </cell>
        </row>
        <row r="3611">
          <cell r="L3611" t="str">
            <v>Autumn Gas</v>
          </cell>
          <cell r="M3611">
            <v>-122.52500000000001</v>
          </cell>
        </row>
        <row r="3612">
          <cell r="L3612" t="str">
            <v>Dont Account For</v>
          </cell>
          <cell r="M3612">
            <v>-41.666666666666671</v>
          </cell>
        </row>
        <row r="3613">
          <cell r="L3613" t="str">
            <v>Dont Account For</v>
          </cell>
          <cell r="M3613">
            <v>-22.083333333333336</v>
          </cell>
        </row>
        <row r="3614">
          <cell r="L3614" t="str">
            <v>Dont Account For</v>
          </cell>
          <cell r="M3614">
            <v>3750</v>
          </cell>
        </row>
        <row r="3615">
          <cell r="L3615" t="str">
            <v>Dont Account For</v>
          </cell>
          <cell r="M3615">
            <v>-89.3125</v>
          </cell>
        </row>
        <row r="3616">
          <cell r="L3616" t="str">
            <v>Dont Account For</v>
          </cell>
          <cell r="M3616">
            <v>-85.291666666666671</v>
          </cell>
        </row>
        <row r="3617">
          <cell r="L3617" t="str">
            <v>Dont Account For</v>
          </cell>
          <cell r="M3617">
            <v>-64.583333333333343</v>
          </cell>
        </row>
        <row r="3618">
          <cell r="L3618" t="str">
            <v>Clothing</v>
          </cell>
          <cell r="M3618">
            <v>-177.08333333333334</v>
          </cell>
        </row>
        <row r="3619">
          <cell r="L3619" t="str">
            <v>Dont Account For</v>
          </cell>
          <cell r="M3619">
            <v>-133.33333333333334</v>
          </cell>
        </row>
        <row r="3620">
          <cell r="L3620" t="str">
            <v>Dont Account For</v>
          </cell>
          <cell r="M3620">
            <v>-463.66666666666669</v>
          </cell>
        </row>
        <row r="3621">
          <cell r="L3621" t="str">
            <v>Dont Account For</v>
          </cell>
          <cell r="M3621">
            <v>-83.333333333333343</v>
          </cell>
        </row>
        <row r="3622">
          <cell r="L3622" t="str">
            <v>Dont Account For</v>
          </cell>
          <cell r="M3622">
            <v>-90.666666666666671</v>
          </cell>
        </row>
        <row r="3623">
          <cell r="L3623" t="str">
            <v>Dont Account For</v>
          </cell>
          <cell r="M3623">
            <v>-13.5</v>
          </cell>
        </row>
        <row r="3624">
          <cell r="L3624" t="str">
            <v>Dont Account For</v>
          </cell>
          <cell r="M3624">
            <v>-69.375</v>
          </cell>
        </row>
        <row r="3625">
          <cell r="L3625" t="str">
            <v>Holiday</v>
          </cell>
          <cell r="M3625">
            <v>-319.14583333333337</v>
          </cell>
        </row>
        <row r="3626">
          <cell r="L3626" t="str">
            <v>Groceries</v>
          </cell>
          <cell r="M3626">
            <v>-128.77083333333334</v>
          </cell>
        </row>
        <row r="3627">
          <cell r="L3627" t="str">
            <v>Dont Account For</v>
          </cell>
          <cell r="M3627">
            <v>-52.083333333333336</v>
          </cell>
        </row>
        <row r="3628">
          <cell r="L3628" t="str">
            <v>Unknown</v>
          </cell>
          <cell r="M3628">
            <v>-136.10833333333335</v>
          </cell>
        </row>
        <row r="3629">
          <cell r="L3629" t="str">
            <v>Department Store</v>
          </cell>
          <cell r="M3629">
            <v>-74.779166666666669</v>
          </cell>
        </row>
        <row r="3630">
          <cell r="L3630" t="str">
            <v>Dont Account For</v>
          </cell>
          <cell r="M3630">
            <v>-23.204166666666666</v>
          </cell>
        </row>
        <row r="3631">
          <cell r="L3631" t="str">
            <v>Minerva Agent</v>
          </cell>
          <cell r="M3631">
            <v>-21.762499999999999</v>
          </cell>
        </row>
        <row r="3632">
          <cell r="L3632" t="str">
            <v>Department Store</v>
          </cell>
          <cell r="M3632">
            <v>-43.308333333333337</v>
          </cell>
        </row>
        <row r="3633">
          <cell r="L3633" t="str">
            <v>School Books</v>
          </cell>
          <cell r="M3633">
            <v>-230.28750000000002</v>
          </cell>
        </row>
        <row r="3634">
          <cell r="L3634" t="str">
            <v>Groceries</v>
          </cell>
          <cell r="M3634">
            <v>-114.31666666666668</v>
          </cell>
        </row>
        <row r="3635">
          <cell r="L3635" t="str">
            <v>Groceries</v>
          </cell>
          <cell r="M3635">
            <v>-48.829166666666666</v>
          </cell>
        </row>
        <row r="3636">
          <cell r="L3636" t="str">
            <v>Dont Account For</v>
          </cell>
          <cell r="M3636">
            <v>11625</v>
          </cell>
        </row>
        <row r="3637">
          <cell r="L3637" t="str">
            <v>Groceries</v>
          </cell>
          <cell r="M3637">
            <v>-32.395833333333336</v>
          </cell>
        </row>
        <row r="3638">
          <cell r="L3638" t="str">
            <v>Regular Cost</v>
          </cell>
          <cell r="M3638">
            <v>-133.69583333333335</v>
          </cell>
        </row>
        <row r="3639">
          <cell r="L3639" t="str">
            <v>Unknown</v>
          </cell>
          <cell r="M3639">
            <v>-365</v>
          </cell>
        </row>
        <row r="3640">
          <cell r="L3640" t="str">
            <v>Dont Account For</v>
          </cell>
          <cell r="M3640">
            <v>-15</v>
          </cell>
        </row>
        <row r="3641">
          <cell r="L3641" t="str">
            <v>Dont Account For</v>
          </cell>
          <cell r="M3641">
            <v>-40</v>
          </cell>
        </row>
        <row r="3642">
          <cell r="L3642" t="str">
            <v>Minerva Rent</v>
          </cell>
          <cell r="M3642">
            <v>0</v>
          </cell>
        </row>
        <row r="3643">
          <cell r="L3643" t="str">
            <v>Minerva Rent</v>
          </cell>
          <cell r="M3643">
            <v>2794.12</v>
          </cell>
        </row>
        <row r="3644">
          <cell r="L3644" t="str">
            <v>Minerva Agent</v>
          </cell>
          <cell r="M3644">
            <v>-238.62</v>
          </cell>
        </row>
        <row r="3645">
          <cell r="L3645" t="str">
            <v>Groceries</v>
          </cell>
          <cell r="M3645">
            <v>-63.470833333333339</v>
          </cell>
        </row>
        <row r="3646">
          <cell r="L3646" t="str">
            <v>Gifts</v>
          </cell>
          <cell r="M3646">
            <v>-30.225000000000005</v>
          </cell>
        </row>
        <row r="3647">
          <cell r="L3647" t="str">
            <v>Gifts</v>
          </cell>
          <cell r="M3647">
            <v>-48.095833333333339</v>
          </cell>
        </row>
        <row r="3648">
          <cell r="L3648" t="str">
            <v>Clothing</v>
          </cell>
          <cell r="M3648">
            <v>-54.887499999999996</v>
          </cell>
        </row>
        <row r="3649">
          <cell r="L3649" t="str">
            <v>Chemist</v>
          </cell>
          <cell r="M3649">
            <v>-20.195833333333333</v>
          </cell>
        </row>
        <row r="3650">
          <cell r="L3650" t="str">
            <v>Books, Videos, Magazines</v>
          </cell>
          <cell r="M3650">
            <v>-283.01250000000005</v>
          </cell>
        </row>
        <row r="3651">
          <cell r="L3651" t="str">
            <v>Groceries</v>
          </cell>
          <cell r="M3651">
            <v>-121.55000000000001</v>
          </cell>
        </row>
        <row r="3652">
          <cell r="L3652" t="str">
            <v>Dont Account For</v>
          </cell>
          <cell r="M3652">
            <v>-30</v>
          </cell>
        </row>
        <row r="3653">
          <cell r="L3653" t="str">
            <v>Dont Account For</v>
          </cell>
          <cell r="M3653">
            <v>-23.6</v>
          </cell>
        </row>
        <row r="3654">
          <cell r="L3654" t="str">
            <v>Stationary</v>
          </cell>
          <cell r="M3654">
            <v>-74.741666666666674</v>
          </cell>
        </row>
        <row r="3655">
          <cell r="L3655" t="str">
            <v>Department Store</v>
          </cell>
          <cell r="M3655">
            <v>-137.64166666666665</v>
          </cell>
        </row>
        <row r="3656">
          <cell r="L3656" t="str">
            <v>Gifts</v>
          </cell>
          <cell r="M3656">
            <v>-55.545833333333334</v>
          </cell>
        </row>
        <row r="3657">
          <cell r="L3657" t="str">
            <v>Gifts</v>
          </cell>
          <cell r="M3657">
            <v>-76.25833333333334</v>
          </cell>
        </row>
        <row r="3658">
          <cell r="L3658" t="str">
            <v>Unknown</v>
          </cell>
          <cell r="M3658">
            <v>-66.666666666666671</v>
          </cell>
        </row>
        <row r="3659">
          <cell r="L3659" t="str">
            <v>Minerva Rent</v>
          </cell>
          <cell r="M3659">
            <v>0</v>
          </cell>
        </row>
        <row r="3660">
          <cell r="L3660" t="str">
            <v>Minerva Rent</v>
          </cell>
          <cell r="M3660">
            <v>2794.12</v>
          </cell>
        </row>
        <row r="3661">
          <cell r="L3661" t="str">
            <v>Minerva Agent</v>
          </cell>
          <cell r="M3661">
            <v>-238.62</v>
          </cell>
        </row>
        <row r="3662">
          <cell r="L3662" t="str">
            <v>Eating Out</v>
          </cell>
          <cell r="M3662">
            <v>-66.850000000000009</v>
          </cell>
        </row>
        <row r="3663">
          <cell r="L3663" t="str">
            <v>Clothing</v>
          </cell>
          <cell r="M3663">
            <v>-119.84583333333333</v>
          </cell>
        </row>
        <row r="3664">
          <cell r="L3664" t="str">
            <v>Gifts</v>
          </cell>
          <cell r="M3664">
            <v>-29.137500000000003</v>
          </cell>
        </row>
        <row r="3665">
          <cell r="L3665" t="str">
            <v>Doctor</v>
          </cell>
          <cell r="M3665">
            <v>-27.95</v>
          </cell>
        </row>
        <row r="3666">
          <cell r="L3666" t="str">
            <v>Unknown</v>
          </cell>
          <cell r="M3666">
            <v>0</v>
          </cell>
        </row>
        <row r="3667">
          <cell r="L3667" t="str">
            <v>Regular Cost</v>
          </cell>
          <cell r="M3667">
            <v>-180.97</v>
          </cell>
        </row>
        <row r="3668">
          <cell r="L3668" t="str">
            <v>Bank Charges</v>
          </cell>
          <cell r="M3668">
            <v>-5</v>
          </cell>
        </row>
        <row r="3669">
          <cell r="L3669" t="str">
            <v>Groceries</v>
          </cell>
          <cell r="M3669">
            <v>-205.96250000000001</v>
          </cell>
        </row>
        <row r="3670">
          <cell r="L3670" t="str">
            <v>Dont Account For</v>
          </cell>
          <cell r="M3670">
            <v>-15.158333333333335</v>
          </cell>
        </row>
        <row r="3671">
          <cell r="L3671" t="str">
            <v>Unknown</v>
          </cell>
          <cell r="M3671">
            <v>-41.275000000000006</v>
          </cell>
        </row>
        <row r="3672">
          <cell r="L3672" t="str">
            <v>Unknown</v>
          </cell>
          <cell r="M3672">
            <v>-154.58333333333334</v>
          </cell>
        </row>
        <row r="3673">
          <cell r="L3673" t="str">
            <v>Doctor</v>
          </cell>
          <cell r="M3673">
            <v>-97.962500000000006</v>
          </cell>
        </row>
        <row r="3674">
          <cell r="L3674" t="str">
            <v>Chemist</v>
          </cell>
          <cell r="M3674">
            <v>-58.358333333333334</v>
          </cell>
        </row>
        <row r="3675">
          <cell r="L3675" t="str">
            <v>Chemist</v>
          </cell>
          <cell r="M3675">
            <v>-30.4375</v>
          </cell>
        </row>
        <row r="3676">
          <cell r="L3676" t="str">
            <v>Regular Cost</v>
          </cell>
          <cell r="M3676">
            <v>-99.658333333333346</v>
          </cell>
        </row>
        <row r="3677">
          <cell r="L3677" t="str">
            <v>Doctor</v>
          </cell>
          <cell r="M3677">
            <v>-80.404166666666669</v>
          </cell>
        </row>
        <row r="3678">
          <cell r="L3678" t="str">
            <v>Eating Out</v>
          </cell>
          <cell r="M3678">
            <v>-12.45</v>
          </cell>
        </row>
        <row r="3679">
          <cell r="L3679" t="str">
            <v>Dont Account For</v>
          </cell>
          <cell r="M3679">
            <v>-11.9</v>
          </cell>
        </row>
        <row r="3680">
          <cell r="L3680" t="str">
            <v>Dont Account For</v>
          </cell>
          <cell r="M3680">
            <v>11.43</v>
          </cell>
        </row>
        <row r="3681">
          <cell r="L3681" t="str">
            <v>Dont Account For</v>
          </cell>
          <cell r="M3681">
            <v>-11.43</v>
          </cell>
        </row>
        <row r="3682">
          <cell r="L3682" t="str">
            <v>Medicare Refund</v>
          </cell>
          <cell r="M3682">
            <v>99.95</v>
          </cell>
        </row>
        <row r="3683">
          <cell r="L3683" t="str">
            <v>Medicare Refund</v>
          </cell>
          <cell r="M3683">
            <v>32.799999999999997</v>
          </cell>
        </row>
        <row r="3684">
          <cell r="L3684" t="str">
            <v>Dont Account For</v>
          </cell>
          <cell r="M3684">
            <v>-100</v>
          </cell>
        </row>
        <row r="3685">
          <cell r="L3685" t="str">
            <v>Dont Account For</v>
          </cell>
          <cell r="M3685">
            <v>543.80999999999995</v>
          </cell>
        </row>
        <row r="3686">
          <cell r="L3686" t="str">
            <v>Medicare Refund</v>
          </cell>
          <cell r="M3686">
            <v>32.799999999999997</v>
          </cell>
        </row>
        <row r="3687">
          <cell r="L3687" t="str">
            <v>Minerva Rent</v>
          </cell>
          <cell r="M3687">
            <v>0</v>
          </cell>
        </row>
        <row r="3688">
          <cell r="L3688" t="str">
            <v>Minerva Rent</v>
          </cell>
          <cell r="M3688">
            <v>2794.12</v>
          </cell>
        </row>
        <row r="3689">
          <cell r="L3689" t="str">
            <v>Minerva Agent</v>
          </cell>
          <cell r="M3689">
            <v>-238.62</v>
          </cell>
        </row>
        <row r="3690">
          <cell r="L3690" t="str">
            <v>Unknown</v>
          </cell>
          <cell r="M3690">
            <v>-95.6</v>
          </cell>
        </row>
        <row r="3691">
          <cell r="L3691" t="str">
            <v>Groceries</v>
          </cell>
          <cell r="M3691">
            <v>-50</v>
          </cell>
        </row>
        <row r="3692">
          <cell r="L3692" t="str">
            <v>Dont Account For</v>
          </cell>
          <cell r="M3692">
            <v>-13</v>
          </cell>
        </row>
        <row r="3693">
          <cell r="L3693" t="str">
            <v>Unknown</v>
          </cell>
          <cell r="M3693">
            <v>-2</v>
          </cell>
        </row>
        <row r="3694">
          <cell r="L3694" t="str">
            <v>Dont Account For</v>
          </cell>
          <cell r="M3694">
            <v>-52.95</v>
          </cell>
        </row>
        <row r="3695">
          <cell r="L3695" t="str">
            <v>Dont Account For</v>
          </cell>
          <cell r="M3695">
            <v>93</v>
          </cell>
        </row>
        <row r="3696">
          <cell r="L3696" t="str">
            <v>Eating Out</v>
          </cell>
          <cell r="M3696">
            <v>-39.200000000000003</v>
          </cell>
        </row>
        <row r="3697">
          <cell r="L3697" t="str">
            <v>Dont Account For</v>
          </cell>
          <cell r="M3697">
            <v>-23.25</v>
          </cell>
        </row>
        <row r="3698">
          <cell r="L3698" t="str">
            <v>Dont Account For</v>
          </cell>
          <cell r="M3698">
            <v>-83.333333333333343</v>
          </cell>
        </row>
        <row r="3699">
          <cell r="L3699" t="str">
            <v>Dont Account For</v>
          </cell>
          <cell r="M3699">
            <v>-833.33333333333337</v>
          </cell>
        </row>
        <row r="3700">
          <cell r="L3700" t="str">
            <v>Dont Account For</v>
          </cell>
          <cell r="M3700">
            <v>-833.33333333333337</v>
          </cell>
        </row>
        <row r="3701">
          <cell r="L3701" t="str">
            <v>Dont Account For</v>
          </cell>
          <cell r="M3701">
            <v>-21.258333333333336</v>
          </cell>
        </row>
        <row r="3702">
          <cell r="L3702" t="str">
            <v>Dont Account For</v>
          </cell>
          <cell r="M3702">
            <v>20.833333333333336</v>
          </cell>
        </row>
        <row r="3703">
          <cell r="L3703" t="str">
            <v>Dont Account For</v>
          </cell>
          <cell r="M3703">
            <v>3862.25</v>
          </cell>
        </row>
        <row r="3704">
          <cell r="L3704" t="str">
            <v>Regular Cost</v>
          </cell>
          <cell r="M3704">
            <v>0</v>
          </cell>
        </row>
        <row r="3705">
          <cell r="L3705" t="str">
            <v>Regular Cost</v>
          </cell>
          <cell r="M3705">
            <v>-2415.0583333333334</v>
          </cell>
        </row>
        <row r="3706">
          <cell r="L3706" t="str">
            <v>Regular Cost</v>
          </cell>
          <cell r="M3706">
            <v>-1185.6625000000001</v>
          </cell>
        </row>
        <row r="3707">
          <cell r="L3707" t="str">
            <v>Regular Cost</v>
          </cell>
          <cell r="M3707">
            <v>-297.73750000000001</v>
          </cell>
        </row>
        <row r="3708">
          <cell r="L3708" t="str">
            <v>Unknown</v>
          </cell>
          <cell r="M3708">
            <v>-22.375000000000004</v>
          </cell>
        </row>
        <row r="3709">
          <cell r="L3709" t="str">
            <v>Dont Account For</v>
          </cell>
          <cell r="M3709">
            <v>1.1166666666666667</v>
          </cell>
        </row>
        <row r="3710">
          <cell r="L3710" t="str">
            <v>Dont Account For</v>
          </cell>
          <cell r="M3710">
            <v>3.9416666666666673</v>
          </cell>
        </row>
        <row r="3711">
          <cell r="L3711" t="str">
            <v>Dont Account For</v>
          </cell>
          <cell r="M3711">
            <v>3.8208333333333333</v>
          </cell>
        </row>
        <row r="3712">
          <cell r="L3712" t="str">
            <v>Dont Account For</v>
          </cell>
          <cell r="M3712">
            <v>41.666666666666671</v>
          </cell>
        </row>
        <row r="3713">
          <cell r="L3713" t="str">
            <v>Dont Account For</v>
          </cell>
          <cell r="M3713">
            <v>166.66666666666669</v>
          </cell>
        </row>
        <row r="3714">
          <cell r="L3714" t="str">
            <v>Dont Account For</v>
          </cell>
          <cell r="M3714">
            <v>-380.41666666666669</v>
          </cell>
        </row>
        <row r="3715">
          <cell r="L3715" t="str">
            <v>Dont Account For</v>
          </cell>
          <cell r="M3715">
            <v>-188.75</v>
          </cell>
        </row>
        <row r="3716">
          <cell r="L3716" t="str">
            <v>Dont Account For</v>
          </cell>
          <cell r="M3716">
            <v>-218.75</v>
          </cell>
        </row>
        <row r="3717">
          <cell r="L3717" t="str">
            <v>Dont Account For</v>
          </cell>
          <cell r="M3717">
            <v>-20.833333333333336</v>
          </cell>
        </row>
        <row r="3718">
          <cell r="L3718" t="str">
            <v>Dont Account For</v>
          </cell>
          <cell r="M3718">
            <v>-20.833333333333336</v>
          </cell>
        </row>
        <row r="3719">
          <cell r="L3719" t="str">
            <v>Dont Account For</v>
          </cell>
          <cell r="M3719">
            <v>-509.16666666666669</v>
          </cell>
        </row>
        <row r="3720">
          <cell r="L3720" t="str">
            <v>Dont Account For</v>
          </cell>
          <cell r="M3720">
            <v>-295.41666666666669</v>
          </cell>
        </row>
        <row r="3721">
          <cell r="L3721" t="str">
            <v>Dont Account For</v>
          </cell>
          <cell r="M3721">
            <v>-210.83333333333334</v>
          </cell>
        </row>
        <row r="3722">
          <cell r="L3722" t="str">
            <v>Dont Account For</v>
          </cell>
          <cell r="M3722">
            <v>-76.25</v>
          </cell>
        </row>
        <row r="3723">
          <cell r="L3723" t="str">
            <v>Dont Account For</v>
          </cell>
          <cell r="M3723">
            <v>-285.83333333333337</v>
          </cell>
        </row>
        <row r="3724">
          <cell r="L3724" t="str">
            <v>Dont Account For</v>
          </cell>
          <cell r="M3724">
            <v>-20.833333333333336</v>
          </cell>
        </row>
        <row r="3725">
          <cell r="L3725" t="str">
            <v>Dont Account For</v>
          </cell>
          <cell r="M3725">
            <v>-181.66666666666669</v>
          </cell>
        </row>
        <row r="3726">
          <cell r="L3726" t="str">
            <v>Dont Account For</v>
          </cell>
          <cell r="M3726">
            <v>-254.16666666666669</v>
          </cell>
        </row>
        <row r="3727">
          <cell r="L3727" t="str">
            <v>Dont Account For</v>
          </cell>
          <cell r="M3727">
            <v>-22.741666666666667</v>
          </cell>
        </row>
        <row r="3728">
          <cell r="L3728" t="str">
            <v>Regular Cost</v>
          </cell>
          <cell r="M3728">
            <v>0</v>
          </cell>
        </row>
        <row r="3729">
          <cell r="L3729" t="str">
            <v>Regular Cost</v>
          </cell>
          <cell r="M3729">
            <v>-978.50416666666661</v>
          </cell>
        </row>
        <row r="3730">
          <cell r="L3730" t="str">
            <v>Regular Cost</v>
          </cell>
          <cell r="M3730">
            <v>-7153.458333333333</v>
          </cell>
        </row>
        <row r="3731">
          <cell r="L3731" t="str">
            <v>Dont Account For</v>
          </cell>
          <cell r="M3731">
            <v>-201.37083333333334</v>
          </cell>
        </row>
        <row r="3732">
          <cell r="L3732" t="str">
            <v>Regular Cost</v>
          </cell>
          <cell r="M3732">
            <v>0</v>
          </cell>
        </row>
        <row r="3733">
          <cell r="L3733" t="str">
            <v>Regular Cost</v>
          </cell>
          <cell r="M3733">
            <v>-2181.7666666666669</v>
          </cell>
        </row>
        <row r="3734">
          <cell r="L3734" t="str">
            <v>Regular Cost</v>
          </cell>
          <cell r="M3734">
            <v>-1057.1583333333333</v>
          </cell>
        </row>
        <row r="3735">
          <cell r="L3735" t="str">
            <v>Regular Cost</v>
          </cell>
          <cell r="M3735">
            <v>-184.96666666666667</v>
          </cell>
        </row>
        <row r="3736">
          <cell r="L3736" t="str">
            <v>Dont Account For</v>
          </cell>
          <cell r="M3736">
            <v>-120.65416666666667</v>
          </cell>
        </row>
        <row r="3737">
          <cell r="L3737" t="str">
            <v>Regular Cost</v>
          </cell>
          <cell r="M3737">
            <v>-5833.3208333333332</v>
          </cell>
        </row>
        <row r="3738">
          <cell r="L3738" t="str">
            <v>Regular Cost</v>
          </cell>
          <cell r="M3738">
            <v>0</v>
          </cell>
        </row>
        <row r="3739">
          <cell r="L3739" t="str">
            <v>Regular Cost</v>
          </cell>
          <cell r="M3739">
            <v>-2062.0125000000003</v>
          </cell>
        </row>
        <row r="3740">
          <cell r="L3740" t="str">
            <v>Regular Cost</v>
          </cell>
          <cell r="M3740">
            <v>-984.16666666666674</v>
          </cell>
        </row>
        <row r="3741">
          <cell r="L3741" t="str">
            <v>Dont Account For</v>
          </cell>
          <cell r="M3741">
            <v>-20.262500000000003</v>
          </cell>
        </row>
        <row r="3742">
          <cell r="L3742" t="str">
            <v>Regular Cost</v>
          </cell>
          <cell r="M3742">
            <v>0</v>
          </cell>
        </row>
        <row r="3743">
          <cell r="L3743" t="str">
            <v>Regular Cost</v>
          </cell>
          <cell r="M3743">
            <v>-2045.2916666666667</v>
          </cell>
        </row>
        <row r="3744">
          <cell r="L3744" t="str">
            <v>Regular Cost</v>
          </cell>
          <cell r="M3744">
            <v>-984.63333333333333</v>
          </cell>
        </row>
        <row r="3745">
          <cell r="L3745" t="str">
            <v>Regular Cost</v>
          </cell>
          <cell r="M3745">
            <v>-496.07499999999999</v>
          </cell>
        </row>
        <row r="3746">
          <cell r="L3746" t="str">
            <v>Dont Account For</v>
          </cell>
          <cell r="M3746">
            <v>-90.316666666666663</v>
          </cell>
        </row>
        <row r="3747">
          <cell r="L3747" t="str">
            <v>Dont Account For</v>
          </cell>
          <cell r="M3747">
            <v>-40.095833333333339</v>
          </cell>
        </row>
        <row r="3748">
          <cell r="L3748" t="str">
            <v>Regular Cost</v>
          </cell>
          <cell r="M3748">
            <v>0</v>
          </cell>
        </row>
        <row r="3749">
          <cell r="L3749" t="str">
            <v>Regular Cost</v>
          </cell>
          <cell r="M3749">
            <v>-2181.7666666666669</v>
          </cell>
        </row>
        <row r="3750">
          <cell r="L3750" t="str">
            <v>Regular Cost</v>
          </cell>
          <cell r="M3750">
            <v>-1057.1583333333333</v>
          </cell>
        </row>
        <row r="3751">
          <cell r="L3751" t="str">
            <v>Regular Cost</v>
          </cell>
          <cell r="M3751">
            <v>-184.96666666666667</v>
          </cell>
        </row>
        <row r="3752">
          <cell r="L3752" t="str">
            <v>Dont Account For</v>
          </cell>
          <cell r="M3752">
            <v>-120.65416666666667</v>
          </cell>
        </row>
        <row r="3753">
          <cell r="L3753" t="str">
            <v>Regular Cost</v>
          </cell>
          <cell r="M3753">
            <v>0</v>
          </cell>
        </row>
        <row r="3754">
          <cell r="L3754" t="str">
            <v>Regular Cost</v>
          </cell>
          <cell r="M3754">
            <v>-2181.7666666666669</v>
          </cell>
        </row>
        <row r="3755">
          <cell r="L3755" t="str">
            <v>Regular Cost</v>
          </cell>
          <cell r="M3755">
            <v>-1057.1583333333333</v>
          </cell>
        </row>
        <row r="3756">
          <cell r="L3756" t="str">
            <v>Regular Cost</v>
          </cell>
          <cell r="M3756">
            <v>-184.96666666666667</v>
          </cell>
        </row>
        <row r="3757">
          <cell r="L3757" t="str">
            <v>Dont Account For</v>
          </cell>
          <cell r="M3757">
            <v>-120.65416666666667</v>
          </cell>
        </row>
        <row r="3758">
          <cell r="L3758" t="str">
            <v>Dont Account For</v>
          </cell>
          <cell r="M3758">
            <v>-21.008333333333336</v>
          </cell>
        </row>
        <row r="3759">
          <cell r="L3759" t="str">
            <v>Regular Cost</v>
          </cell>
          <cell r="M3759">
            <v>0</v>
          </cell>
        </row>
        <row r="3760">
          <cell r="L3760" t="str">
            <v>Regular Cost</v>
          </cell>
          <cell r="M3760">
            <v>-2415.0583333333334</v>
          </cell>
        </row>
        <row r="3761">
          <cell r="L3761" t="str">
            <v>Regular Cost</v>
          </cell>
          <cell r="M3761">
            <v>-1185.6625000000001</v>
          </cell>
        </row>
        <row r="3762">
          <cell r="L3762" t="str">
            <v>Regular Cost</v>
          </cell>
          <cell r="M3762">
            <v>-297.73750000000001</v>
          </cell>
        </row>
        <row r="3763">
          <cell r="L3763" t="str">
            <v>Regular Cost</v>
          </cell>
          <cell r="M3763">
            <v>0</v>
          </cell>
        </row>
        <row r="3764">
          <cell r="L3764" t="str">
            <v>Regular Cost</v>
          </cell>
          <cell r="M3764">
            <v>-2415.0583333333334</v>
          </cell>
        </row>
        <row r="3765">
          <cell r="L3765" t="str">
            <v>Regular Cost</v>
          </cell>
          <cell r="M3765">
            <v>-1185.6625000000001</v>
          </cell>
        </row>
        <row r="3766">
          <cell r="L3766" t="str">
            <v>Regular Cost</v>
          </cell>
          <cell r="M3766">
            <v>-297.73750000000001</v>
          </cell>
        </row>
        <row r="3767">
          <cell r="L3767" t="str">
            <v>Regular Cost</v>
          </cell>
          <cell r="M3767">
            <v>0</v>
          </cell>
        </row>
        <row r="3768">
          <cell r="L3768" t="str">
            <v>Regular Cost</v>
          </cell>
          <cell r="M3768">
            <v>-2415.0583333333334</v>
          </cell>
        </row>
        <row r="3769">
          <cell r="L3769" t="str">
            <v>Regular Cost</v>
          </cell>
          <cell r="M3769">
            <v>-1185.6625000000001</v>
          </cell>
        </row>
        <row r="3770">
          <cell r="L3770" t="str">
            <v>Regular Cost</v>
          </cell>
          <cell r="M3770">
            <v>-297.73750000000001</v>
          </cell>
        </row>
        <row r="3771">
          <cell r="L3771" t="str">
            <v>Regular Cost</v>
          </cell>
          <cell r="M3771">
            <v>0</v>
          </cell>
        </row>
        <row r="3772">
          <cell r="L3772" t="str">
            <v>Regular Cost</v>
          </cell>
          <cell r="M3772">
            <v>-2415.0583333333334</v>
          </cell>
        </row>
        <row r="3773">
          <cell r="L3773" t="str">
            <v>Regular Cost</v>
          </cell>
          <cell r="M3773">
            <v>-1185.6625000000001</v>
          </cell>
        </row>
        <row r="3774">
          <cell r="L3774" t="str">
            <v>Regular Cost</v>
          </cell>
          <cell r="M3774">
            <v>-297.73750000000001</v>
          </cell>
        </row>
        <row r="3775">
          <cell r="L3775" t="str">
            <v>Dont Account For</v>
          </cell>
          <cell r="M3775">
            <v>-25.433333333333334</v>
          </cell>
        </row>
        <row r="3776">
          <cell r="L3776" t="str">
            <v>Regular Cost</v>
          </cell>
          <cell r="M3776">
            <v>0</v>
          </cell>
        </row>
        <row r="3777">
          <cell r="L3777" t="str">
            <v>Regular Cost</v>
          </cell>
          <cell r="M3777">
            <v>-2415.0583333333334</v>
          </cell>
        </row>
        <row r="3778">
          <cell r="L3778" t="str">
            <v>Regular Cost</v>
          </cell>
          <cell r="M3778">
            <v>-1185.6625000000001</v>
          </cell>
        </row>
        <row r="3779">
          <cell r="L3779" t="str">
            <v>Regular Cost</v>
          </cell>
          <cell r="M3779">
            <v>-297.73750000000001</v>
          </cell>
        </row>
        <row r="3780">
          <cell r="L3780" t="str">
            <v>Regular Cost</v>
          </cell>
          <cell r="M3780">
            <v>0</v>
          </cell>
        </row>
        <row r="3781">
          <cell r="L3781" t="str">
            <v>Regular Cost</v>
          </cell>
          <cell r="M3781">
            <v>-2415.0583333333334</v>
          </cell>
        </row>
        <row r="3782">
          <cell r="L3782" t="str">
            <v>Regular Cost</v>
          </cell>
          <cell r="M3782">
            <v>-1185.6625000000001</v>
          </cell>
        </row>
        <row r="3783">
          <cell r="L3783" t="str">
            <v>Regular Cost</v>
          </cell>
          <cell r="M3783">
            <v>-297.73750000000001</v>
          </cell>
        </row>
        <row r="3784">
          <cell r="L3784" t="str">
            <v>Regular Cost</v>
          </cell>
          <cell r="M3784">
            <v>0</v>
          </cell>
        </row>
        <row r="3785">
          <cell r="L3785" t="str">
            <v>Regular Cost</v>
          </cell>
          <cell r="M3785">
            <v>-2415.0583333333334</v>
          </cell>
        </row>
        <row r="3786">
          <cell r="L3786" t="str">
            <v>Regular Cost</v>
          </cell>
          <cell r="M3786">
            <v>-1185.6625000000001</v>
          </cell>
        </row>
        <row r="3787">
          <cell r="L3787" t="str">
            <v>Regular Cost</v>
          </cell>
          <cell r="M3787">
            <v>-297.73750000000001</v>
          </cell>
        </row>
        <row r="3788">
          <cell r="L3788" t="str">
            <v>Regular Cost</v>
          </cell>
          <cell r="M3788">
            <v>0</v>
          </cell>
        </row>
        <row r="3789">
          <cell r="L3789" t="str">
            <v>Regular Cost</v>
          </cell>
          <cell r="M3789">
            <v>-2376.6458333333335</v>
          </cell>
        </row>
        <row r="3790">
          <cell r="L3790" t="str">
            <v>Regular Cost</v>
          </cell>
          <cell r="M3790">
            <v>-1130.2458333333334</v>
          </cell>
        </row>
        <row r="3791">
          <cell r="L3791" t="str">
            <v>Regular Cost</v>
          </cell>
          <cell r="M3791">
            <v>-3631.2166666666667</v>
          </cell>
        </row>
        <row r="3792">
          <cell r="L3792" t="str">
            <v>Dont Account For</v>
          </cell>
          <cell r="M3792">
            <v>-18.662500000000001</v>
          </cell>
        </row>
        <row r="3793">
          <cell r="L3793" t="str">
            <v>Regular Cost</v>
          </cell>
          <cell r="M3793">
            <v>0</v>
          </cell>
        </row>
        <row r="3794">
          <cell r="L3794" t="str">
            <v>Regular Cost</v>
          </cell>
          <cell r="M3794">
            <v>-2134.9</v>
          </cell>
        </row>
        <row r="3795">
          <cell r="L3795" t="str">
            <v>Regular Cost</v>
          </cell>
          <cell r="M3795">
            <v>-1045.1750000000002</v>
          </cell>
        </row>
        <row r="3796">
          <cell r="L3796" t="str">
            <v>Regular Cost</v>
          </cell>
          <cell r="M3796">
            <v>-525.38333333333344</v>
          </cell>
        </row>
        <row r="3797">
          <cell r="L3797" t="str">
            <v>Regular Cost</v>
          </cell>
          <cell r="M3797">
            <v>0</v>
          </cell>
        </row>
        <row r="3798">
          <cell r="L3798" t="str">
            <v>Regular Cost</v>
          </cell>
          <cell r="M3798">
            <v>-2415.0583333333334</v>
          </cell>
        </row>
        <row r="3799">
          <cell r="L3799" t="str">
            <v>Regular Cost</v>
          </cell>
          <cell r="M3799">
            <v>-1185.6625000000001</v>
          </cell>
        </row>
        <row r="3800">
          <cell r="L3800" t="str">
            <v>Regular Cost</v>
          </cell>
          <cell r="M3800">
            <v>-297.73750000000001</v>
          </cell>
        </row>
        <row r="3801">
          <cell r="L3801" t="str">
            <v>Regular Cost</v>
          </cell>
          <cell r="M3801">
            <v>0</v>
          </cell>
        </row>
        <row r="3802">
          <cell r="L3802" t="str">
            <v>Regular Cost</v>
          </cell>
          <cell r="M3802">
            <v>-2415.0583333333334</v>
          </cell>
        </row>
        <row r="3803">
          <cell r="L3803" t="str">
            <v>Regular Cost</v>
          </cell>
          <cell r="M3803">
            <v>-1185.6625000000001</v>
          </cell>
        </row>
        <row r="3804">
          <cell r="L3804" t="str">
            <v>Regular Cost</v>
          </cell>
          <cell r="M3804">
            <v>-297.73750000000001</v>
          </cell>
        </row>
        <row r="3805">
          <cell r="L3805" t="str">
            <v>Dont Account For</v>
          </cell>
          <cell r="M3805">
            <v>-27.31666666666667</v>
          </cell>
        </row>
        <row r="3806">
          <cell r="L3806" t="str">
            <v>Regular Cost</v>
          </cell>
          <cell r="M3806">
            <v>0</v>
          </cell>
        </row>
        <row r="3807">
          <cell r="L3807" t="str">
            <v>Regular Cost</v>
          </cell>
          <cell r="M3807">
            <v>-2447.1166666666668</v>
          </cell>
        </row>
        <row r="3808">
          <cell r="L3808" t="str">
            <v>Regular Cost</v>
          </cell>
          <cell r="M3808">
            <v>-1199.8416666666667</v>
          </cell>
        </row>
        <row r="3809">
          <cell r="L3809" t="str">
            <v>Regular Cost</v>
          </cell>
          <cell r="M3809">
            <v>-557.10416666666663</v>
          </cell>
        </row>
        <row r="3810">
          <cell r="L3810" t="str">
            <v>Regular Cost</v>
          </cell>
          <cell r="M3810">
            <v>0</v>
          </cell>
        </row>
        <row r="3811">
          <cell r="L3811" t="str">
            <v>Regular Cost</v>
          </cell>
          <cell r="M3811">
            <v>-2415.0583333333334</v>
          </cell>
        </row>
        <row r="3812">
          <cell r="L3812" t="str">
            <v>Regular Cost</v>
          </cell>
          <cell r="M3812">
            <v>-1185.6625000000001</v>
          </cell>
        </row>
        <row r="3813">
          <cell r="L3813" t="str">
            <v>Regular Cost</v>
          </cell>
          <cell r="M3813">
            <v>-297.73750000000001</v>
          </cell>
        </row>
        <row r="3814">
          <cell r="L3814" t="str">
            <v>Regular Cost</v>
          </cell>
          <cell r="M3814">
            <v>0</v>
          </cell>
        </row>
        <row r="3815">
          <cell r="L3815" t="str">
            <v>Regular Cost</v>
          </cell>
          <cell r="M3815">
            <v>-2415.0583333333334</v>
          </cell>
        </row>
        <row r="3816">
          <cell r="L3816" t="str">
            <v>Regular Cost</v>
          </cell>
          <cell r="M3816">
            <v>-1185.6625000000001</v>
          </cell>
        </row>
        <row r="3817">
          <cell r="L3817" t="str">
            <v>Regular Cost</v>
          </cell>
          <cell r="M3817">
            <v>-297.73750000000001</v>
          </cell>
        </row>
        <row r="3818">
          <cell r="L3818" t="str">
            <v>Dont Account For</v>
          </cell>
          <cell r="M3818">
            <v>-25.962500000000002</v>
          </cell>
        </row>
        <row r="3819">
          <cell r="L3819" t="str">
            <v>Dont Account For</v>
          </cell>
          <cell r="M3819">
            <v>-26.445833333333333</v>
          </cell>
        </row>
        <row r="3820">
          <cell r="L3820" t="str">
            <v>Regular Cost</v>
          </cell>
          <cell r="M3820">
            <v>0</v>
          </cell>
        </row>
        <row r="3821">
          <cell r="L3821" t="str">
            <v>Regular Cost</v>
          </cell>
          <cell r="M3821">
            <v>-2415.0583333333334</v>
          </cell>
        </row>
        <row r="3822">
          <cell r="L3822" t="str">
            <v>Regular Cost</v>
          </cell>
          <cell r="M3822">
            <v>-1185.6625000000001</v>
          </cell>
        </row>
        <row r="3823">
          <cell r="L3823" t="str">
            <v>Regular Cost</v>
          </cell>
          <cell r="M3823">
            <v>-297.73750000000001</v>
          </cell>
        </row>
        <row r="3824">
          <cell r="L3824" t="str">
            <v>Regular Cost</v>
          </cell>
          <cell r="M3824">
            <v>0</v>
          </cell>
        </row>
        <row r="3825">
          <cell r="L3825" t="str">
            <v>Regular Cost</v>
          </cell>
          <cell r="M3825">
            <v>-2415.0583333333334</v>
          </cell>
        </row>
        <row r="3826">
          <cell r="L3826" t="str">
            <v>Regular Cost</v>
          </cell>
          <cell r="M3826">
            <v>-1185.6625000000001</v>
          </cell>
        </row>
        <row r="3827">
          <cell r="L3827" t="str">
            <v>Regular Cost</v>
          </cell>
          <cell r="M3827">
            <v>-297.73750000000001</v>
          </cell>
        </row>
        <row r="3828">
          <cell r="L3828" t="str">
            <v>Regular Cost</v>
          </cell>
          <cell r="M3828">
            <v>0</v>
          </cell>
        </row>
        <row r="3829">
          <cell r="L3829" t="str">
            <v>Regular Cost</v>
          </cell>
          <cell r="M3829">
            <v>-2415.0583333333334</v>
          </cell>
        </row>
        <row r="3830">
          <cell r="L3830" t="str">
            <v>Regular Cost</v>
          </cell>
          <cell r="M3830">
            <v>-1185.6625000000001</v>
          </cell>
        </row>
        <row r="3831">
          <cell r="L3831" t="str">
            <v>Regular Cost</v>
          </cell>
          <cell r="M3831">
            <v>-297.73750000000001</v>
          </cell>
        </row>
        <row r="3832">
          <cell r="L3832" t="str">
            <v>Dont Account For</v>
          </cell>
          <cell r="M3832">
            <v>933.6</v>
          </cell>
        </row>
        <row r="3833">
          <cell r="L3833" t="str">
            <v>Dont Account For</v>
          </cell>
          <cell r="M3833">
            <v>-125</v>
          </cell>
        </row>
        <row r="3834">
          <cell r="L3834" t="str">
            <v>Dont Account For</v>
          </cell>
          <cell r="M3834">
            <v>-125</v>
          </cell>
        </row>
        <row r="3835">
          <cell r="L3835" t="str">
            <v>Dont Account For</v>
          </cell>
          <cell r="M3835">
            <v>-416.66666666666669</v>
          </cell>
        </row>
        <row r="3836">
          <cell r="L3836" t="str">
            <v>Dont Account For</v>
          </cell>
          <cell r="M3836">
            <v>-125</v>
          </cell>
        </row>
        <row r="3837">
          <cell r="L3837" t="str">
            <v>Dont Account For</v>
          </cell>
          <cell r="M3837">
            <v>-208.33333333333334</v>
          </cell>
        </row>
        <row r="3838">
          <cell r="L3838" t="str">
            <v>Dont Account For</v>
          </cell>
          <cell r="M3838">
            <v>-125</v>
          </cell>
        </row>
        <row r="3839">
          <cell r="L3839" t="str">
            <v>Dont Account For</v>
          </cell>
          <cell r="M3839">
            <v>-333.33333333333337</v>
          </cell>
        </row>
        <row r="3840">
          <cell r="L3840" t="str">
            <v>Dont Account For</v>
          </cell>
          <cell r="M3840">
            <v>-166.66666666666669</v>
          </cell>
        </row>
        <row r="3841">
          <cell r="L3841" t="str">
            <v>Dont Account For</v>
          </cell>
          <cell r="M3841">
            <v>-208.33333333333334</v>
          </cell>
        </row>
        <row r="3842">
          <cell r="L3842" t="str">
            <v>Bank Charges</v>
          </cell>
          <cell r="M3842">
            <v>-0.41666666666666669</v>
          </cell>
        </row>
        <row r="3843">
          <cell r="L3843" t="str">
            <v>Dont Account For</v>
          </cell>
          <cell r="M3843">
            <v>-125</v>
          </cell>
        </row>
        <row r="3844">
          <cell r="L3844" t="str">
            <v>Dont Account For</v>
          </cell>
          <cell r="M3844">
            <v>-333.33333333333337</v>
          </cell>
        </row>
        <row r="3845">
          <cell r="L3845" t="str">
            <v>Dont Account For</v>
          </cell>
          <cell r="M3845">
            <v>0</v>
          </cell>
        </row>
        <row r="3846">
          <cell r="L3846" t="str">
            <v>Dont Account For</v>
          </cell>
          <cell r="M3846">
            <v>14841.666666666668</v>
          </cell>
        </row>
        <row r="3847">
          <cell r="L3847" t="str">
            <v>Dont Account For</v>
          </cell>
          <cell r="M3847">
            <v>1111.6666666666667</v>
          </cell>
        </row>
        <row r="3848">
          <cell r="L3848" t="str">
            <v>Dont Account For</v>
          </cell>
          <cell r="M3848">
            <v>2427.0833333333335</v>
          </cell>
        </row>
        <row r="3849">
          <cell r="L3849" t="str">
            <v>Dont Account For</v>
          </cell>
          <cell r="M3849">
            <v>-120.1375</v>
          </cell>
        </row>
        <row r="3850">
          <cell r="L3850" t="str">
            <v>Dont Account For</v>
          </cell>
          <cell r="M3850">
            <v>-741.14583333333337</v>
          </cell>
        </row>
        <row r="3851">
          <cell r="L3851" t="str">
            <v>Dont Account For</v>
          </cell>
          <cell r="M3851">
            <v>-41.666666666666671</v>
          </cell>
        </row>
        <row r="3852">
          <cell r="L3852" t="str">
            <v>Dont Account For</v>
          </cell>
          <cell r="M3852">
            <v>-223.42083333333335</v>
          </cell>
        </row>
        <row r="3853">
          <cell r="L3853" t="str">
            <v>Dont Account For</v>
          </cell>
          <cell r="M3853">
            <v>-60</v>
          </cell>
        </row>
        <row r="3854">
          <cell r="L3854" t="str">
            <v>Dont Account For</v>
          </cell>
          <cell r="M3854">
            <v>2680.2874999999999</v>
          </cell>
        </row>
        <row r="3855">
          <cell r="L3855" t="str">
            <v>Dont Account For</v>
          </cell>
          <cell r="M3855">
            <v>3037.6416666666669</v>
          </cell>
        </row>
        <row r="3856">
          <cell r="L3856" t="str">
            <v>Dont Account For</v>
          </cell>
          <cell r="M3856">
            <v>2914.0583333333334</v>
          </cell>
        </row>
        <row r="3857">
          <cell r="L3857" t="str">
            <v>Dont Account For</v>
          </cell>
          <cell r="M3857">
            <v>0</v>
          </cell>
        </row>
        <row r="3858">
          <cell r="L3858" t="str">
            <v>Dont Account For</v>
          </cell>
          <cell r="M3858">
            <v>14841.666666666668</v>
          </cell>
        </row>
        <row r="3859">
          <cell r="L3859" t="str">
            <v>Dont Account For</v>
          </cell>
          <cell r="M3859">
            <v>1111.6666666666667</v>
          </cell>
        </row>
        <row r="3860">
          <cell r="L3860" t="str">
            <v>Dont Account For</v>
          </cell>
          <cell r="M3860">
            <v>2427.0833333333335</v>
          </cell>
        </row>
        <row r="3861">
          <cell r="L3861" t="str">
            <v>Dont Account For</v>
          </cell>
          <cell r="M3861">
            <v>-120.1375</v>
          </cell>
        </row>
        <row r="3862">
          <cell r="L3862" t="str">
            <v>Dont Account For</v>
          </cell>
          <cell r="M3862">
            <v>-741.14583333333337</v>
          </cell>
        </row>
        <row r="3863">
          <cell r="L3863" t="str">
            <v>Dont Account For</v>
          </cell>
          <cell r="M3863">
            <v>-41.666666666666671</v>
          </cell>
        </row>
        <row r="3864">
          <cell r="L3864" t="str">
            <v>Dont Account For</v>
          </cell>
          <cell r="M3864">
            <v>-265.87083333333334</v>
          </cell>
        </row>
        <row r="3865">
          <cell r="L3865" t="str">
            <v>Dont Account For</v>
          </cell>
          <cell r="M3865">
            <v>-158.33333333333334</v>
          </cell>
        </row>
        <row r="3866">
          <cell r="L3866" t="str">
            <v>Dont Account For</v>
          </cell>
          <cell r="M3866">
            <v>-129.5</v>
          </cell>
        </row>
        <row r="3867">
          <cell r="L3867" t="str">
            <v>Dont Account For</v>
          </cell>
          <cell r="M3867">
            <v>0</v>
          </cell>
        </row>
        <row r="3868">
          <cell r="L3868" t="str">
            <v>Dont Account For</v>
          </cell>
          <cell r="M3868">
            <v>14841.666666666668</v>
          </cell>
        </row>
        <row r="3869">
          <cell r="L3869" t="str">
            <v>Dont Account For</v>
          </cell>
          <cell r="M3869">
            <v>1111.6666666666667</v>
          </cell>
        </row>
        <row r="3870">
          <cell r="L3870" t="str">
            <v>Dont Account For</v>
          </cell>
          <cell r="M3870">
            <v>2427.0833333333335</v>
          </cell>
        </row>
        <row r="3871">
          <cell r="L3871" t="str">
            <v>Dont Account For</v>
          </cell>
          <cell r="M3871">
            <v>-120.1375</v>
          </cell>
        </row>
        <row r="3872">
          <cell r="L3872" t="str">
            <v>Dont Account For</v>
          </cell>
          <cell r="M3872">
            <v>-741.14583333333337</v>
          </cell>
        </row>
        <row r="3873">
          <cell r="L3873" t="str">
            <v>Dont Account For</v>
          </cell>
          <cell r="M3873">
            <v>-41.666666666666671</v>
          </cell>
        </row>
        <row r="3874">
          <cell r="L3874" t="str">
            <v>Dont Account For</v>
          </cell>
          <cell r="M3874">
            <v>-1070.8333333333335</v>
          </cell>
        </row>
        <row r="3875">
          <cell r="L3875" t="str">
            <v>Dont Account For</v>
          </cell>
          <cell r="M3875">
            <v>-1.6500000000000001</v>
          </cell>
        </row>
        <row r="3876">
          <cell r="L3876" t="str">
            <v>Dont Account For</v>
          </cell>
          <cell r="M3876">
            <v>-275.47916666666669</v>
          </cell>
        </row>
        <row r="3877">
          <cell r="L3877" t="str">
            <v>Dont Account For</v>
          </cell>
          <cell r="M3877">
            <v>166.66666666666669</v>
          </cell>
        </row>
        <row r="3878">
          <cell r="L3878" t="str">
            <v>Dont Account For</v>
          </cell>
          <cell r="M3878">
            <v>0</v>
          </cell>
        </row>
        <row r="3879">
          <cell r="L3879" t="str">
            <v>Dont Account For</v>
          </cell>
          <cell r="M3879">
            <v>14841.666666666668</v>
          </cell>
        </row>
        <row r="3880">
          <cell r="L3880" t="str">
            <v>Dont Account For</v>
          </cell>
          <cell r="M3880">
            <v>1111.6666666666667</v>
          </cell>
        </row>
        <row r="3881">
          <cell r="L3881" t="str">
            <v>Dont Account For</v>
          </cell>
          <cell r="M3881">
            <v>2427.0833333333335</v>
          </cell>
        </row>
        <row r="3882">
          <cell r="L3882" t="str">
            <v>Dont Account For</v>
          </cell>
          <cell r="M3882">
            <v>-144.16666666666669</v>
          </cell>
        </row>
        <row r="3883">
          <cell r="L3883" t="str">
            <v>Dont Account For</v>
          </cell>
          <cell r="M3883">
            <v>-741.14583333333337</v>
          </cell>
        </row>
        <row r="3884">
          <cell r="L3884" t="str">
            <v>Dont Account For</v>
          </cell>
          <cell r="M3884">
            <v>-41.666666666666671</v>
          </cell>
        </row>
        <row r="3885">
          <cell r="L3885" t="str">
            <v>Dont Account For</v>
          </cell>
          <cell r="M3885">
            <v>-103.6125</v>
          </cell>
        </row>
        <row r="3886">
          <cell r="L3886" t="str">
            <v>Dont Account For</v>
          </cell>
          <cell r="M3886">
            <v>-337.97916666666669</v>
          </cell>
        </row>
        <row r="3887">
          <cell r="L3887" t="str">
            <v>Dont Account For</v>
          </cell>
          <cell r="M3887">
            <v>-462.5</v>
          </cell>
        </row>
        <row r="3888">
          <cell r="L3888" t="str">
            <v>Dont Account For</v>
          </cell>
          <cell r="M3888">
            <v>-475</v>
          </cell>
        </row>
        <row r="3889">
          <cell r="L3889" t="str">
            <v>Dont Account For</v>
          </cell>
          <cell r="M3889">
            <v>916.66666666666674</v>
          </cell>
        </row>
        <row r="3890">
          <cell r="L3890" t="str">
            <v>Dont Account For</v>
          </cell>
          <cell r="M3890">
            <v>0</v>
          </cell>
        </row>
        <row r="3891">
          <cell r="L3891" t="str">
            <v>Dont Account For</v>
          </cell>
          <cell r="M3891">
            <v>14841.666666666668</v>
          </cell>
        </row>
        <row r="3892">
          <cell r="L3892" t="str">
            <v>Dont Account For</v>
          </cell>
          <cell r="M3892">
            <v>1111.6666666666667</v>
          </cell>
        </row>
        <row r="3893">
          <cell r="L3893" t="str">
            <v>Dont Account For</v>
          </cell>
          <cell r="M3893">
            <v>2427.0833333333335</v>
          </cell>
        </row>
        <row r="3894">
          <cell r="L3894" t="str">
            <v>Dont Account For</v>
          </cell>
          <cell r="M3894">
            <v>-144.16666666666669</v>
          </cell>
        </row>
        <row r="3895">
          <cell r="L3895" t="str">
            <v>Dont Account For</v>
          </cell>
          <cell r="M3895">
            <v>-741.14583333333337</v>
          </cell>
        </row>
        <row r="3896">
          <cell r="L3896" t="str">
            <v>Dont Account For</v>
          </cell>
          <cell r="M3896">
            <v>-41.666666666666671</v>
          </cell>
        </row>
        <row r="3897">
          <cell r="L3897" t="str">
            <v>Dont Account For</v>
          </cell>
          <cell r="M3897">
            <v>-22.25</v>
          </cell>
        </row>
        <row r="3898">
          <cell r="L3898" t="str">
            <v>Dont Account For</v>
          </cell>
          <cell r="M3898">
            <v>-345.9083333333333</v>
          </cell>
        </row>
        <row r="3899">
          <cell r="L3899" t="str">
            <v>Dont Account For</v>
          </cell>
          <cell r="M3899">
            <v>-741.66666666666674</v>
          </cell>
        </row>
        <row r="3900">
          <cell r="L3900" t="str">
            <v>Dont Account For</v>
          </cell>
          <cell r="M3900">
            <v>333.33333333333337</v>
          </cell>
        </row>
        <row r="3901">
          <cell r="L3901" t="str">
            <v>Dont Account For</v>
          </cell>
          <cell r="M3901">
            <v>2779.166666666667</v>
          </cell>
        </row>
        <row r="3902">
          <cell r="L3902" t="str">
            <v>Dont Account For</v>
          </cell>
          <cell r="M3902">
            <v>0</v>
          </cell>
        </row>
        <row r="3903">
          <cell r="L3903" t="str">
            <v>Dont Account For</v>
          </cell>
          <cell r="M3903">
            <v>14841.666666666668</v>
          </cell>
        </row>
        <row r="3904">
          <cell r="L3904" t="str">
            <v>Dont Account For</v>
          </cell>
          <cell r="M3904">
            <v>1111.6666666666667</v>
          </cell>
        </row>
        <row r="3905">
          <cell r="L3905" t="str">
            <v>Dont Account For</v>
          </cell>
          <cell r="M3905">
            <v>2427.0833333333335</v>
          </cell>
        </row>
        <row r="3906">
          <cell r="L3906" t="str">
            <v>Dont Account For</v>
          </cell>
          <cell r="M3906">
            <v>-144.16666666666669</v>
          </cell>
        </row>
        <row r="3907">
          <cell r="L3907" t="str">
            <v>Dont Account For</v>
          </cell>
          <cell r="M3907">
            <v>-741.14583333333337</v>
          </cell>
        </row>
        <row r="3908">
          <cell r="L3908" t="str">
            <v>Dont Account For</v>
          </cell>
          <cell r="M3908">
            <v>-41.666666666666671</v>
          </cell>
        </row>
        <row r="3909">
          <cell r="L3909" t="str">
            <v>Dont Account For</v>
          </cell>
          <cell r="M3909">
            <v>-53</v>
          </cell>
        </row>
        <row r="3910">
          <cell r="L3910" t="str">
            <v>Dont Account For</v>
          </cell>
          <cell r="M3910">
            <v>-266.42083333333335</v>
          </cell>
        </row>
        <row r="3911">
          <cell r="L3911" t="str">
            <v>Dont Account For</v>
          </cell>
          <cell r="M3911">
            <v>1.95</v>
          </cell>
        </row>
        <row r="3912">
          <cell r="L3912" t="str">
            <v>Dont Account For</v>
          </cell>
          <cell r="M3912">
            <v>-391.66666666666669</v>
          </cell>
        </row>
        <row r="3913">
          <cell r="L3913" t="str">
            <v>Dont Account For</v>
          </cell>
          <cell r="M3913">
            <v>-179.16666666666669</v>
          </cell>
        </row>
        <row r="3914">
          <cell r="L3914" t="str">
            <v>Dont Account For</v>
          </cell>
          <cell r="M3914">
            <v>-345.83333333333337</v>
          </cell>
        </row>
        <row r="3915">
          <cell r="L3915" t="str">
            <v>Dont Account For</v>
          </cell>
          <cell r="M3915">
            <v>-179.16666666666669</v>
          </cell>
        </row>
        <row r="3916">
          <cell r="L3916" t="str">
            <v>Dont Account For</v>
          </cell>
          <cell r="M3916">
            <v>-333.33333333333337</v>
          </cell>
        </row>
        <row r="3917">
          <cell r="L3917" t="str">
            <v>Dont Account For</v>
          </cell>
          <cell r="M3917">
            <v>-158.33333333333334</v>
          </cell>
        </row>
        <row r="3918">
          <cell r="L3918" t="str">
            <v>Dont Account For</v>
          </cell>
          <cell r="M3918">
            <v>-308.33333333333337</v>
          </cell>
        </row>
        <row r="3919">
          <cell r="L3919" t="str">
            <v>Dont Account For</v>
          </cell>
          <cell r="M3919">
            <v>-158.33333333333334</v>
          </cell>
        </row>
        <row r="3920">
          <cell r="L3920" t="str">
            <v>Dont Account For</v>
          </cell>
          <cell r="M3920">
            <v>-625</v>
          </cell>
        </row>
        <row r="3921">
          <cell r="L3921" t="str">
            <v>Dont Account For</v>
          </cell>
          <cell r="M3921">
            <v>-91.666666666666671</v>
          </cell>
        </row>
        <row r="3922">
          <cell r="L3922" t="str">
            <v>Dont Account For</v>
          </cell>
          <cell r="M3922">
            <v>-66.666666666666671</v>
          </cell>
        </row>
        <row r="3923">
          <cell r="L3923" t="str">
            <v>Dont Account For</v>
          </cell>
          <cell r="M3923">
            <v>-91.666666666666671</v>
          </cell>
        </row>
        <row r="3924">
          <cell r="L3924" t="str">
            <v>Dont Account For</v>
          </cell>
          <cell r="M3924">
            <v>-66.666666666666671</v>
          </cell>
        </row>
        <row r="3925">
          <cell r="L3925" t="str">
            <v>Dont Account For</v>
          </cell>
          <cell r="M3925">
            <v>0</v>
          </cell>
        </row>
        <row r="3926">
          <cell r="L3926" t="str">
            <v>Dont Account For</v>
          </cell>
          <cell r="M3926">
            <v>14841.666666666668</v>
          </cell>
        </row>
        <row r="3927">
          <cell r="L3927" t="str">
            <v>Dont Account For</v>
          </cell>
          <cell r="M3927">
            <v>1031.25</v>
          </cell>
        </row>
        <row r="3928">
          <cell r="L3928" t="str">
            <v>Dont Account For</v>
          </cell>
          <cell r="M3928">
            <v>2427.0833333333335</v>
          </cell>
        </row>
        <row r="3929">
          <cell r="L3929" t="str">
            <v>Dont Account For</v>
          </cell>
          <cell r="M3929">
            <v>-144.16666666666669</v>
          </cell>
        </row>
        <row r="3930">
          <cell r="L3930" t="str">
            <v>Dont Account For</v>
          </cell>
          <cell r="M3930">
            <v>-741.14583333333337</v>
          </cell>
        </row>
        <row r="3931">
          <cell r="L3931" t="str">
            <v>Dont Account For</v>
          </cell>
          <cell r="M3931">
            <v>-41.666666666666671</v>
          </cell>
        </row>
        <row r="3932">
          <cell r="L3932" t="str">
            <v>Dont Account For</v>
          </cell>
          <cell r="M3932">
            <v>-243.90833333333333</v>
          </cell>
        </row>
        <row r="3933">
          <cell r="L3933" t="str">
            <v>Dont Account For</v>
          </cell>
          <cell r="M3933">
            <v>-378.53750000000002</v>
          </cell>
        </row>
        <row r="3934">
          <cell r="L3934" t="str">
            <v>Dont Account For</v>
          </cell>
          <cell r="M3934">
            <v>-741.66666666666674</v>
          </cell>
        </row>
        <row r="3935">
          <cell r="L3935" t="str">
            <v>Dont Account For</v>
          </cell>
          <cell r="M3935">
            <v>-741.66666666666674</v>
          </cell>
        </row>
        <row r="3936">
          <cell r="L3936" t="str">
            <v>Dont Account For</v>
          </cell>
          <cell r="M3936">
            <v>-26.666666666666668</v>
          </cell>
        </row>
        <row r="3937">
          <cell r="L3937" t="str">
            <v>Dont Account For</v>
          </cell>
          <cell r="M3937">
            <v>391.66666666666669</v>
          </cell>
        </row>
        <row r="3938">
          <cell r="L3938" t="str">
            <v>Dont Account For</v>
          </cell>
          <cell r="M3938">
            <v>179.16666666666669</v>
          </cell>
        </row>
        <row r="3939">
          <cell r="L3939" t="str">
            <v>Dont Account For</v>
          </cell>
          <cell r="M3939">
            <v>345.83333333333337</v>
          </cell>
        </row>
        <row r="3940">
          <cell r="L3940" t="str">
            <v>Dont Account For</v>
          </cell>
          <cell r="M3940">
            <v>391.66666666666669</v>
          </cell>
        </row>
        <row r="3941">
          <cell r="L3941" t="str">
            <v>Dont Account For</v>
          </cell>
          <cell r="M3941">
            <v>179.16666666666669</v>
          </cell>
        </row>
        <row r="3942">
          <cell r="L3942" t="str">
            <v>Dont Account For</v>
          </cell>
          <cell r="M3942">
            <v>0</v>
          </cell>
        </row>
        <row r="3943">
          <cell r="L3943" t="str">
            <v>Dont Account For</v>
          </cell>
          <cell r="M3943">
            <v>14841.666666666668</v>
          </cell>
        </row>
        <row r="3944">
          <cell r="L3944" t="str">
            <v>Dont Account For</v>
          </cell>
          <cell r="M3944">
            <v>1024.5833333333335</v>
          </cell>
        </row>
        <row r="3945">
          <cell r="L3945" t="str">
            <v>Dont Account For</v>
          </cell>
          <cell r="M3945">
            <v>2427.0833333333335</v>
          </cell>
        </row>
        <row r="3946">
          <cell r="L3946" t="str">
            <v>Dont Account For</v>
          </cell>
          <cell r="M3946">
            <v>-144.16666666666669</v>
          </cell>
        </row>
        <row r="3947">
          <cell r="L3947" t="str">
            <v>Dont Account For</v>
          </cell>
          <cell r="M3947">
            <v>-741.14583333333337</v>
          </cell>
        </row>
        <row r="3948">
          <cell r="L3948" t="str">
            <v>Dont Account For</v>
          </cell>
          <cell r="M3948">
            <v>-41.666666666666671</v>
          </cell>
        </row>
        <row r="3949">
          <cell r="L3949" t="str">
            <v>Dont Account For</v>
          </cell>
          <cell r="M3949">
            <v>-148.28333333333333</v>
          </cell>
        </row>
        <row r="3950">
          <cell r="L3950" t="str">
            <v>Dont Account For</v>
          </cell>
          <cell r="M3950">
            <v>-288.55416666666667</v>
          </cell>
        </row>
        <row r="3951">
          <cell r="L3951" t="str">
            <v>Dont Account For</v>
          </cell>
          <cell r="M3951">
            <v>833.33333333333337</v>
          </cell>
        </row>
        <row r="3952">
          <cell r="L3952" t="str">
            <v>Dont Account For</v>
          </cell>
          <cell r="M3952">
            <v>-416.66666666666669</v>
          </cell>
        </row>
        <row r="3953">
          <cell r="L3953" t="str">
            <v>Dont Account For</v>
          </cell>
          <cell r="M3953">
            <v>-91.666666666666671</v>
          </cell>
        </row>
        <row r="3954">
          <cell r="L3954" t="str">
            <v>Dont Account For</v>
          </cell>
          <cell r="M3954">
            <v>-66.666666666666671</v>
          </cell>
        </row>
        <row r="3955">
          <cell r="L3955" t="str">
            <v>Dont Account For</v>
          </cell>
          <cell r="M3955">
            <v>-91.666666666666671</v>
          </cell>
        </row>
        <row r="3956">
          <cell r="L3956" t="str">
            <v>Dont Account For</v>
          </cell>
          <cell r="M3956">
            <v>-66.666666666666671</v>
          </cell>
        </row>
        <row r="3957">
          <cell r="L3957" t="str">
            <v>Dont Account For</v>
          </cell>
          <cell r="M3957">
            <v>-1329.1666666666667</v>
          </cell>
        </row>
        <row r="3958">
          <cell r="L3958" t="str">
            <v>Dont Account For</v>
          </cell>
          <cell r="M3958">
            <v>-1329.1666666666667</v>
          </cell>
        </row>
        <row r="3959">
          <cell r="L3959" t="str">
            <v>Dont Account For</v>
          </cell>
          <cell r="M3959">
            <v>-183.33333333333334</v>
          </cell>
        </row>
        <row r="3960">
          <cell r="L3960" t="str">
            <v>Dont Account For</v>
          </cell>
          <cell r="M3960">
            <v>-95.833333333333343</v>
          </cell>
        </row>
        <row r="3961">
          <cell r="L3961" t="str">
            <v>Dont Account For</v>
          </cell>
          <cell r="M3961">
            <v>166.66666666666669</v>
          </cell>
        </row>
        <row r="3962">
          <cell r="L3962" t="str">
            <v>Dont Account For</v>
          </cell>
          <cell r="M3962">
            <v>-104.16666666666667</v>
          </cell>
        </row>
        <row r="3963">
          <cell r="L3963" t="str">
            <v>Dont Account For</v>
          </cell>
          <cell r="M3963">
            <v>0</v>
          </cell>
        </row>
        <row r="3964">
          <cell r="L3964" t="str">
            <v>Dont Account For</v>
          </cell>
          <cell r="M3964">
            <v>14841.666666666668</v>
          </cell>
        </row>
        <row r="3965">
          <cell r="L3965" t="str">
            <v>Dont Account For</v>
          </cell>
          <cell r="M3965">
            <v>1035.4166666666667</v>
          </cell>
        </row>
        <row r="3966">
          <cell r="L3966" t="str">
            <v>Dont Account For</v>
          </cell>
          <cell r="M3966">
            <v>2427.0833333333335</v>
          </cell>
        </row>
        <row r="3967">
          <cell r="L3967" t="str">
            <v>Dont Account For</v>
          </cell>
          <cell r="M3967">
            <v>-144.16666666666669</v>
          </cell>
        </row>
        <row r="3968">
          <cell r="L3968" t="str">
            <v>Dont Account For</v>
          </cell>
          <cell r="M3968">
            <v>-741.14583333333337</v>
          </cell>
        </row>
        <row r="3969">
          <cell r="L3969" t="str">
            <v>Dont Account For</v>
          </cell>
          <cell r="M3969">
            <v>-41.666666666666671</v>
          </cell>
        </row>
        <row r="3970">
          <cell r="L3970" t="str">
            <v>Dont Account For</v>
          </cell>
          <cell r="M3970">
            <v>-380.87083333333334</v>
          </cell>
        </row>
        <row r="3971">
          <cell r="L3971" t="str">
            <v>Dont Account For</v>
          </cell>
          <cell r="M3971">
            <v>-387.5</v>
          </cell>
        </row>
        <row r="3972">
          <cell r="L3972" t="str">
            <v>Dont Account For</v>
          </cell>
          <cell r="M3972">
            <v>-333.33333333333337</v>
          </cell>
        </row>
        <row r="3973">
          <cell r="L3973" t="str">
            <v>Dont Account For</v>
          </cell>
          <cell r="M3973">
            <v>-83.333333333333343</v>
          </cell>
        </row>
        <row r="3974">
          <cell r="L3974" t="str">
            <v>Dont Account For</v>
          </cell>
          <cell r="M3974">
            <v>10786.012500000001</v>
          </cell>
        </row>
        <row r="3975">
          <cell r="L3975" t="str">
            <v>Dont Account For</v>
          </cell>
          <cell r="M3975">
            <v>4.9666666666666668</v>
          </cell>
        </row>
        <row r="3976">
          <cell r="L3976" t="str">
            <v>Dont Account For</v>
          </cell>
          <cell r="M3976">
            <v>0</v>
          </cell>
        </row>
        <row r="3977">
          <cell r="L3977" t="str">
            <v>Dont Account For</v>
          </cell>
          <cell r="M3977">
            <v>14841.666666666668</v>
          </cell>
        </row>
        <row r="3978">
          <cell r="L3978" t="str">
            <v>Dont Account For</v>
          </cell>
          <cell r="M3978">
            <v>1111.6666666666667</v>
          </cell>
        </row>
        <row r="3979">
          <cell r="L3979" t="str">
            <v>Dont Account For</v>
          </cell>
          <cell r="M3979">
            <v>2427.0833333333335</v>
          </cell>
        </row>
        <row r="3980">
          <cell r="L3980" t="str">
            <v>Dont Account For</v>
          </cell>
          <cell r="M3980">
            <v>-144.16666666666669</v>
          </cell>
        </row>
        <row r="3981">
          <cell r="L3981" t="str">
            <v>Dont Account For</v>
          </cell>
          <cell r="M3981">
            <v>-741.14583333333337</v>
          </cell>
        </row>
        <row r="3982">
          <cell r="L3982" t="str">
            <v>Dont Account For</v>
          </cell>
          <cell r="M3982">
            <v>-41.666666666666671</v>
          </cell>
        </row>
        <row r="3983">
          <cell r="L3983" t="str">
            <v>Dont Account For</v>
          </cell>
          <cell r="M3983">
            <v>-55.85</v>
          </cell>
        </row>
        <row r="3984">
          <cell r="L3984" t="str">
            <v>Dont Account For</v>
          </cell>
          <cell r="M3984">
            <v>-333.43333333333334</v>
          </cell>
        </row>
        <row r="3985">
          <cell r="L3985" t="str">
            <v>Dont Account For</v>
          </cell>
          <cell r="M3985">
            <v>-350</v>
          </cell>
        </row>
        <row r="3986">
          <cell r="L3986" t="str">
            <v>Dont Account For</v>
          </cell>
          <cell r="M3986">
            <v>-325</v>
          </cell>
        </row>
        <row r="3987">
          <cell r="L3987" t="str">
            <v>Dont Account For</v>
          </cell>
          <cell r="M3987">
            <v>-241.66666666666669</v>
          </cell>
        </row>
        <row r="3988">
          <cell r="L3988" t="str">
            <v>Dont Account For</v>
          </cell>
          <cell r="M3988">
            <v>-83.333333333333343</v>
          </cell>
        </row>
        <row r="3989">
          <cell r="L3989" t="str">
            <v>Dont Account For</v>
          </cell>
          <cell r="M3989">
            <v>-258.33333333333337</v>
          </cell>
        </row>
        <row r="3990">
          <cell r="L3990" t="str">
            <v>Dont Account For</v>
          </cell>
          <cell r="M3990">
            <v>-258.33333333333337</v>
          </cell>
        </row>
        <row r="3991">
          <cell r="L3991" t="str">
            <v>Dont Account For</v>
          </cell>
          <cell r="M3991">
            <v>-162.5</v>
          </cell>
        </row>
        <row r="3992">
          <cell r="L3992" t="str">
            <v>Dont Account For</v>
          </cell>
          <cell r="M3992">
            <v>66.666666666666671</v>
          </cell>
        </row>
        <row r="3993">
          <cell r="L3993" t="str">
            <v>Dont Account For</v>
          </cell>
          <cell r="M3993">
            <v>79.166666666666671</v>
          </cell>
        </row>
        <row r="3994">
          <cell r="L3994" t="str">
            <v>Dont Account For</v>
          </cell>
          <cell r="M3994">
            <v>112.5</v>
          </cell>
        </row>
        <row r="3995">
          <cell r="L3995" t="str">
            <v>Dont Account For</v>
          </cell>
          <cell r="M3995">
            <v>25</v>
          </cell>
        </row>
        <row r="3996">
          <cell r="L3996" t="str">
            <v>Dont Account For</v>
          </cell>
          <cell r="M3996">
            <v>45.833333333333336</v>
          </cell>
        </row>
        <row r="3997">
          <cell r="L3997" t="str">
            <v>Dont Account For</v>
          </cell>
          <cell r="M3997">
            <v>45.833333333333336</v>
          </cell>
        </row>
        <row r="3998">
          <cell r="L3998" t="str">
            <v>Dont Account For</v>
          </cell>
          <cell r="M3998">
            <v>950</v>
          </cell>
        </row>
        <row r="3999">
          <cell r="L3999" t="str">
            <v>Dont Account For</v>
          </cell>
          <cell r="M3999">
            <v>191.66666666666669</v>
          </cell>
        </row>
        <row r="4000">
          <cell r="L4000" t="str">
            <v>Dont Account For</v>
          </cell>
          <cell r="M4000">
            <v>0</v>
          </cell>
        </row>
        <row r="4001">
          <cell r="L4001" t="str">
            <v>Dont Account For</v>
          </cell>
          <cell r="M4001">
            <v>16202.083333333334</v>
          </cell>
        </row>
        <row r="4002">
          <cell r="L4002" t="str">
            <v>Dont Account For</v>
          </cell>
          <cell r="M4002">
            <v>1213.75</v>
          </cell>
        </row>
        <row r="4003">
          <cell r="L4003" t="str">
            <v>Dont Account For</v>
          </cell>
          <cell r="M4003">
            <v>787.30000000000007</v>
          </cell>
        </row>
        <row r="4004">
          <cell r="L4004" t="str">
            <v>Dont Account For</v>
          </cell>
          <cell r="M4004">
            <v>-144.16666666666669</v>
          </cell>
        </row>
        <row r="4005">
          <cell r="L4005" t="str">
            <v>Dont Account For</v>
          </cell>
          <cell r="M4005">
            <v>-809.16666666666674</v>
          </cell>
        </row>
        <row r="4006">
          <cell r="L4006" t="str">
            <v>Dont Account For</v>
          </cell>
          <cell r="M4006">
            <v>-41.666666666666671</v>
          </cell>
        </row>
        <row r="4007">
          <cell r="L4007" t="str">
            <v>Dont Account For</v>
          </cell>
          <cell r="M4007">
            <v>-94.6875</v>
          </cell>
        </row>
        <row r="4008">
          <cell r="L4008" t="str">
            <v>Dont Account For</v>
          </cell>
          <cell r="M4008">
            <v>-369.36250000000001</v>
          </cell>
        </row>
        <row r="4009">
          <cell r="L4009" t="str">
            <v>Dont Account For</v>
          </cell>
          <cell r="M4009">
            <v>-745.83333333333337</v>
          </cell>
        </row>
        <row r="4010">
          <cell r="L4010" t="str">
            <v>Dont Account For</v>
          </cell>
          <cell r="M4010">
            <v>15392.916666666668</v>
          </cell>
        </row>
        <row r="4011">
          <cell r="L4011" t="str">
            <v>Dont Account For</v>
          </cell>
          <cell r="M4011">
            <v>-183.33333333333334</v>
          </cell>
        </row>
        <row r="4012">
          <cell r="L4012" t="str">
            <v>Dont Account For</v>
          </cell>
          <cell r="M4012">
            <v>11501.375</v>
          </cell>
        </row>
        <row r="4013">
          <cell r="L4013" t="str">
            <v>Dont Account For</v>
          </cell>
          <cell r="M4013">
            <v>0</v>
          </cell>
        </row>
        <row r="4014">
          <cell r="L4014" t="str">
            <v>Dont Account For</v>
          </cell>
          <cell r="M4014">
            <v>16202.083333333334</v>
          </cell>
        </row>
        <row r="4015">
          <cell r="L4015" t="str">
            <v>Dont Account For</v>
          </cell>
          <cell r="M4015">
            <v>1213.75</v>
          </cell>
        </row>
        <row r="4016">
          <cell r="L4016" t="str">
            <v>Dont Account For</v>
          </cell>
          <cell r="M4016">
            <v>-144.16666666666669</v>
          </cell>
        </row>
        <row r="4017">
          <cell r="L4017" t="str">
            <v>Dont Account For</v>
          </cell>
          <cell r="M4017">
            <v>-809.16666666666674</v>
          </cell>
        </row>
        <row r="4018">
          <cell r="L4018" t="str">
            <v>Dont Account For</v>
          </cell>
          <cell r="M4018">
            <v>-41.666666666666671</v>
          </cell>
        </row>
        <row r="4019">
          <cell r="L4019" t="str">
            <v>Dont Account For</v>
          </cell>
          <cell r="M4019">
            <v>-30.925000000000001</v>
          </cell>
        </row>
        <row r="4020">
          <cell r="L4020" t="str">
            <v>Dont Account For</v>
          </cell>
          <cell r="M4020">
            <v>-327.9375</v>
          </cell>
        </row>
        <row r="4021">
          <cell r="L4021" t="str">
            <v>Dont Account For</v>
          </cell>
          <cell r="M4021">
            <v>-483.33333333333337</v>
          </cell>
        </row>
        <row r="4022">
          <cell r="L4022" t="str">
            <v>Dont Account For</v>
          </cell>
          <cell r="M4022">
            <v>343.75</v>
          </cell>
        </row>
        <row r="4023">
          <cell r="L4023" t="str">
            <v>Dont Account For</v>
          </cell>
          <cell r="M4023">
            <v>-745.83333333333337</v>
          </cell>
        </row>
        <row r="4024">
          <cell r="L4024" t="str">
            <v>Dont Account For</v>
          </cell>
          <cell r="M4024">
            <v>-341.66666666666669</v>
          </cell>
        </row>
        <row r="4025">
          <cell r="L4025" t="str">
            <v>Dont Account For</v>
          </cell>
          <cell r="M4025">
            <v>-366.66666666666669</v>
          </cell>
        </row>
        <row r="4026">
          <cell r="L4026" t="str">
            <v>Dont Account For</v>
          </cell>
          <cell r="M4026">
            <v>-179.16666666666669</v>
          </cell>
        </row>
        <row r="4027">
          <cell r="L4027" t="str">
            <v>Dont Account For</v>
          </cell>
          <cell r="M4027">
            <v>-179.16666666666669</v>
          </cell>
        </row>
        <row r="4028">
          <cell r="L4028" t="str">
            <v>Dont Account For</v>
          </cell>
          <cell r="M4028">
            <v>-366.66666666666669</v>
          </cell>
        </row>
        <row r="4029">
          <cell r="L4029" t="str">
            <v>Dont Account For</v>
          </cell>
          <cell r="M4029">
            <v>1257.75</v>
          </cell>
        </row>
        <row r="4030">
          <cell r="L4030" t="str">
            <v>Dont Account For</v>
          </cell>
          <cell r="M4030">
            <v>0</v>
          </cell>
        </row>
        <row r="4031">
          <cell r="L4031" t="str">
            <v>Dont Account For</v>
          </cell>
          <cell r="M4031">
            <v>16202.083333333334</v>
          </cell>
        </row>
        <row r="4032">
          <cell r="L4032" t="str">
            <v>Dont Account For</v>
          </cell>
          <cell r="M4032">
            <v>1213.75</v>
          </cell>
        </row>
        <row r="4033">
          <cell r="L4033" t="str">
            <v>Dont Account For</v>
          </cell>
          <cell r="M4033">
            <v>-144.16666666666669</v>
          </cell>
        </row>
        <row r="4034">
          <cell r="L4034" t="str">
            <v>Dont Account For</v>
          </cell>
          <cell r="M4034">
            <v>-809.16666666666674</v>
          </cell>
        </row>
        <row r="4035">
          <cell r="L4035" t="str">
            <v>Dont Account For</v>
          </cell>
          <cell r="M4035">
            <v>-41.666666666666671</v>
          </cell>
        </row>
        <row r="4036">
          <cell r="L4036" t="str">
            <v>Dont Account For</v>
          </cell>
          <cell r="M4036">
            <v>-30.925000000000001</v>
          </cell>
        </row>
        <row r="4037">
          <cell r="L4037" t="str">
            <v>Dont Account For</v>
          </cell>
          <cell r="M4037">
            <v>-327.9375</v>
          </cell>
        </row>
        <row r="4038">
          <cell r="L4038" t="str">
            <v>Dont Account For</v>
          </cell>
          <cell r="M4038">
            <v>-483.33333333333337</v>
          </cell>
        </row>
        <row r="4039">
          <cell r="L4039" t="str">
            <v>Dont Account For</v>
          </cell>
          <cell r="M4039">
            <v>343.75</v>
          </cell>
        </row>
        <row r="4040">
          <cell r="L4040" t="str">
            <v>Dont Account For</v>
          </cell>
          <cell r="M4040">
            <v>-745.83333333333337</v>
          </cell>
        </row>
        <row r="4041">
          <cell r="L4041" t="str">
            <v>Dont Account For</v>
          </cell>
          <cell r="M4041">
            <v>-341.66666666666669</v>
          </cell>
        </row>
        <row r="4042">
          <cell r="L4042" t="str">
            <v>Dont Account For</v>
          </cell>
          <cell r="M4042">
            <v>-366.66666666666669</v>
          </cell>
        </row>
        <row r="4043">
          <cell r="L4043" t="str">
            <v>Dont Account For</v>
          </cell>
          <cell r="M4043">
            <v>-179.16666666666669</v>
          </cell>
        </row>
        <row r="4044">
          <cell r="L4044" t="str">
            <v>Dont Account For</v>
          </cell>
          <cell r="M4044">
            <v>-179.16666666666669</v>
          </cell>
        </row>
        <row r="4045">
          <cell r="L4045" t="str">
            <v>Dont Account For</v>
          </cell>
          <cell r="M4045">
            <v>-366.66666666666669</v>
          </cell>
        </row>
        <row r="4046">
          <cell r="L4046" t="str">
            <v>Dont Account For</v>
          </cell>
          <cell r="M4046">
            <v>1257.75</v>
          </cell>
        </row>
        <row r="4047">
          <cell r="L4047" t="str">
            <v>Dont Account For</v>
          </cell>
          <cell r="M4047">
            <v>0</v>
          </cell>
        </row>
        <row r="4048">
          <cell r="L4048" t="str">
            <v>Dont Account For</v>
          </cell>
          <cell r="M4048">
            <v>16202.083333333334</v>
          </cell>
        </row>
        <row r="4049">
          <cell r="L4049" t="str">
            <v>Dont Account For</v>
          </cell>
          <cell r="M4049">
            <v>1213.75</v>
          </cell>
        </row>
        <row r="4050">
          <cell r="L4050" t="str">
            <v>Dont Account For</v>
          </cell>
          <cell r="M4050">
            <v>-144.16666666666669</v>
          </cell>
        </row>
        <row r="4051">
          <cell r="L4051" t="str">
            <v>Dont Account For</v>
          </cell>
          <cell r="M4051">
            <v>-809.16666666666674</v>
          </cell>
        </row>
        <row r="4052">
          <cell r="L4052" t="str">
            <v>Dont Account For</v>
          </cell>
          <cell r="M4052">
            <v>-41.666666666666671</v>
          </cell>
        </row>
        <row r="4053">
          <cell r="L4053" t="str">
            <v>Dont Account For</v>
          </cell>
          <cell r="M4053">
            <v>-30.925000000000001</v>
          </cell>
        </row>
        <row r="4054">
          <cell r="L4054" t="str">
            <v>Dont Account For</v>
          </cell>
          <cell r="M4054">
            <v>-327.9375</v>
          </cell>
        </row>
        <row r="4055">
          <cell r="L4055" t="str">
            <v>Dont Account For</v>
          </cell>
          <cell r="M4055">
            <v>-483.33333333333337</v>
          </cell>
        </row>
        <row r="4056">
          <cell r="L4056" t="str">
            <v>Dont Account For</v>
          </cell>
          <cell r="M4056">
            <v>343.75</v>
          </cell>
        </row>
        <row r="4057">
          <cell r="L4057" t="str">
            <v>Dont Account For</v>
          </cell>
          <cell r="M4057">
            <v>-745.83333333333337</v>
          </cell>
        </row>
        <row r="4058">
          <cell r="L4058" t="str">
            <v>Dont Account For</v>
          </cell>
          <cell r="M4058">
            <v>-341.66666666666669</v>
          </cell>
        </row>
        <row r="4059">
          <cell r="L4059" t="str">
            <v>Dont Account For</v>
          </cell>
          <cell r="M4059">
            <v>-366.66666666666669</v>
          </cell>
        </row>
        <row r="4060">
          <cell r="L4060" t="str">
            <v>Dont Account For</v>
          </cell>
          <cell r="M4060">
            <v>-179.16666666666669</v>
          </cell>
        </row>
        <row r="4061">
          <cell r="L4061" t="str">
            <v>Dont Account For</v>
          </cell>
          <cell r="M4061">
            <v>-179.16666666666669</v>
          </cell>
        </row>
        <row r="4062">
          <cell r="L4062" t="str">
            <v>Dont Account For</v>
          </cell>
          <cell r="M4062">
            <v>-366.66666666666669</v>
          </cell>
        </row>
        <row r="4063">
          <cell r="L4063" t="str">
            <v>Dont Account For</v>
          </cell>
          <cell r="M4063">
            <v>1257.75</v>
          </cell>
        </row>
        <row r="4064">
          <cell r="L4064" t="str">
            <v>Dont Account For</v>
          </cell>
          <cell r="M4064">
            <v>0</v>
          </cell>
        </row>
        <row r="4065">
          <cell r="L4065" t="str">
            <v>Dont Account For</v>
          </cell>
          <cell r="M4065">
            <v>16202.083333333334</v>
          </cell>
        </row>
        <row r="4066">
          <cell r="L4066" t="str">
            <v>Dont Account For</v>
          </cell>
          <cell r="M4066">
            <v>1213.75</v>
          </cell>
        </row>
        <row r="4067">
          <cell r="L4067" t="str">
            <v>Dont Account For</v>
          </cell>
          <cell r="M4067">
            <v>-144.16666666666669</v>
          </cell>
        </row>
        <row r="4068">
          <cell r="L4068" t="str">
            <v>Dont Account For</v>
          </cell>
          <cell r="M4068">
            <v>-809.16666666666674</v>
          </cell>
        </row>
        <row r="4069">
          <cell r="L4069" t="str">
            <v>Dont Account For</v>
          </cell>
          <cell r="M4069">
            <v>-41.666666666666671</v>
          </cell>
        </row>
        <row r="4070">
          <cell r="L4070" t="str">
            <v>Dont Account For</v>
          </cell>
          <cell r="M4070">
            <v>-30.925000000000001</v>
          </cell>
        </row>
        <row r="4071">
          <cell r="L4071" t="str">
            <v>Dont Account For</v>
          </cell>
          <cell r="M4071">
            <v>-327.9375</v>
          </cell>
        </row>
        <row r="4072">
          <cell r="L4072" t="str">
            <v>Dont Account For</v>
          </cell>
          <cell r="M4072">
            <v>-483.33333333333337</v>
          </cell>
        </row>
        <row r="4073">
          <cell r="L4073" t="str">
            <v>Dont Account For</v>
          </cell>
          <cell r="M4073">
            <v>343.75</v>
          </cell>
        </row>
        <row r="4074">
          <cell r="L4074" t="str">
            <v>Dont Account For</v>
          </cell>
          <cell r="M4074">
            <v>-745.83333333333337</v>
          </cell>
        </row>
        <row r="4075">
          <cell r="L4075" t="str">
            <v>Dont Account For</v>
          </cell>
          <cell r="M4075">
            <v>-341.66666666666669</v>
          </cell>
        </row>
        <row r="4076">
          <cell r="L4076" t="str">
            <v>Dont Account For</v>
          </cell>
          <cell r="M4076">
            <v>-366.66666666666669</v>
          </cell>
        </row>
        <row r="4077">
          <cell r="L4077" t="str">
            <v>Dont Account For</v>
          </cell>
          <cell r="M4077">
            <v>-179.16666666666669</v>
          </cell>
        </row>
        <row r="4078">
          <cell r="L4078" t="str">
            <v>Dont Account For</v>
          </cell>
          <cell r="M4078">
            <v>-179.16666666666669</v>
          </cell>
        </row>
        <row r="4079">
          <cell r="L4079" t="str">
            <v>Dont Account For</v>
          </cell>
          <cell r="M4079">
            <v>-366.66666666666669</v>
          </cell>
        </row>
        <row r="4080">
          <cell r="L4080" t="str">
            <v>Dont Account For</v>
          </cell>
          <cell r="M4080">
            <v>1257.75</v>
          </cell>
        </row>
        <row r="4081">
          <cell r="L4081" t="str">
            <v>Dont Account For</v>
          </cell>
          <cell r="M4081">
            <v>0</v>
          </cell>
        </row>
        <row r="4082">
          <cell r="L4082" t="str">
            <v>Dont Account For</v>
          </cell>
          <cell r="M4082">
            <v>16202.083333333334</v>
          </cell>
        </row>
        <row r="4083">
          <cell r="L4083" t="str">
            <v>Dont Account For</v>
          </cell>
          <cell r="M4083">
            <v>1213.75</v>
          </cell>
        </row>
        <row r="4084">
          <cell r="L4084" t="str">
            <v>Dont Account For</v>
          </cell>
          <cell r="M4084">
            <v>-144.16666666666669</v>
          </cell>
        </row>
        <row r="4085">
          <cell r="L4085" t="str">
            <v>Dont Account For</v>
          </cell>
          <cell r="M4085">
            <v>-809.16666666666674</v>
          </cell>
        </row>
        <row r="4086">
          <cell r="L4086" t="str">
            <v>Dont Account For</v>
          </cell>
          <cell r="M4086">
            <v>-41.666666666666671</v>
          </cell>
        </row>
        <row r="4087">
          <cell r="L4087" t="str">
            <v>Dont Account For</v>
          </cell>
          <cell r="M4087">
            <v>-30.925000000000001</v>
          </cell>
        </row>
        <row r="4088">
          <cell r="L4088" t="str">
            <v>Dont Account For</v>
          </cell>
          <cell r="M4088">
            <v>-327.9375</v>
          </cell>
        </row>
        <row r="4089">
          <cell r="L4089" t="str">
            <v>Dont Account For</v>
          </cell>
          <cell r="M4089">
            <v>-483.33333333333337</v>
          </cell>
        </row>
        <row r="4090">
          <cell r="L4090" t="str">
            <v>Dont Account For</v>
          </cell>
          <cell r="M4090">
            <v>343.75</v>
          </cell>
        </row>
        <row r="4091">
          <cell r="L4091" t="str">
            <v>Dont Account For</v>
          </cell>
          <cell r="M4091">
            <v>-745.83333333333337</v>
          </cell>
        </row>
        <row r="4092">
          <cell r="L4092" t="str">
            <v>Dont Account For</v>
          </cell>
          <cell r="M4092">
            <v>-341.66666666666669</v>
          </cell>
        </row>
        <row r="4093">
          <cell r="L4093" t="str">
            <v>Dont Account For</v>
          </cell>
          <cell r="M4093">
            <v>-366.66666666666669</v>
          </cell>
        </row>
        <row r="4094">
          <cell r="L4094" t="str">
            <v>Dont Account For</v>
          </cell>
          <cell r="M4094">
            <v>-179.16666666666669</v>
          </cell>
        </row>
        <row r="4095">
          <cell r="L4095" t="str">
            <v>Dont Account For</v>
          </cell>
          <cell r="M4095">
            <v>-179.16666666666669</v>
          </cell>
        </row>
        <row r="4096">
          <cell r="L4096" t="str">
            <v>Dont Account For</v>
          </cell>
          <cell r="M4096">
            <v>-366.66666666666669</v>
          </cell>
        </row>
        <row r="4097">
          <cell r="L4097" t="str">
            <v>Dont Account For</v>
          </cell>
          <cell r="M4097">
            <v>1257.75</v>
          </cell>
        </row>
        <row r="4098">
          <cell r="L4098" t="str">
            <v>Dont Account For</v>
          </cell>
          <cell r="M4098">
            <v>0</v>
          </cell>
        </row>
        <row r="4099">
          <cell r="L4099" t="str">
            <v>Dont Account For</v>
          </cell>
          <cell r="M4099">
            <v>16202.083333333334</v>
          </cell>
        </row>
        <row r="4100">
          <cell r="L4100" t="str">
            <v>Dont Account For</v>
          </cell>
          <cell r="M4100">
            <v>1213.75</v>
          </cell>
        </row>
        <row r="4101">
          <cell r="L4101" t="str">
            <v>Dont Account For</v>
          </cell>
          <cell r="M4101">
            <v>-144.16666666666669</v>
          </cell>
        </row>
        <row r="4102">
          <cell r="L4102" t="str">
            <v>Dont Account For</v>
          </cell>
          <cell r="M4102">
            <v>-809.16666666666674</v>
          </cell>
        </row>
        <row r="4103">
          <cell r="L4103" t="str">
            <v>Dont Account For</v>
          </cell>
          <cell r="M4103">
            <v>-41.666666666666671</v>
          </cell>
        </row>
        <row r="4104">
          <cell r="L4104" t="str">
            <v>Dont Account For</v>
          </cell>
          <cell r="M4104">
            <v>-30.925000000000001</v>
          </cell>
        </row>
        <row r="4105">
          <cell r="L4105" t="str">
            <v>Dont Account For</v>
          </cell>
          <cell r="M4105">
            <v>-327.9375</v>
          </cell>
        </row>
        <row r="4106">
          <cell r="L4106" t="str">
            <v>Dont Account For</v>
          </cell>
          <cell r="M4106">
            <v>-483.33333333333337</v>
          </cell>
        </row>
        <row r="4107">
          <cell r="L4107" t="str">
            <v>Dont Account For</v>
          </cell>
          <cell r="M4107">
            <v>343.75</v>
          </cell>
        </row>
        <row r="4108">
          <cell r="L4108" t="str">
            <v>Dont Account For</v>
          </cell>
          <cell r="M4108">
            <v>-745.83333333333337</v>
          </cell>
        </row>
        <row r="4109">
          <cell r="L4109" t="str">
            <v>Dont Account For</v>
          </cell>
          <cell r="M4109">
            <v>-341.66666666666669</v>
          </cell>
        </row>
        <row r="4110">
          <cell r="L4110" t="str">
            <v>Dont Account For</v>
          </cell>
          <cell r="M4110">
            <v>-366.66666666666669</v>
          </cell>
        </row>
        <row r="4111">
          <cell r="L4111" t="str">
            <v>Dont Account For</v>
          </cell>
          <cell r="M4111">
            <v>-179.16666666666669</v>
          </cell>
        </row>
        <row r="4112">
          <cell r="L4112" t="str">
            <v>Dont Account For</v>
          </cell>
          <cell r="M4112">
            <v>-179.16666666666669</v>
          </cell>
        </row>
        <row r="4113">
          <cell r="L4113" t="str">
            <v>Dont Account For</v>
          </cell>
          <cell r="M4113">
            <v>-366.66666666666669</v>
          </cell>
        </row>
        <row r="4114">
          <cell r="L4114" t="str">
            <v>Dont Account For</v>
          </cell>
          <cell r="M4114">
            <v>1257.75</v>
          </cell>
        </row>
        <row r="4115">
          <cell r="L4115" t="str">
            <v>Dont Account For</v>
          </cell>
          <cell r="M4115">
            <v>0</v>
          </cell>
        </row>
        <row r="4116">
          <cell r="L4116" t="str">
            <v>Dont Account For</v>
          </cell>
          <cell r="M4116">
            <v>16202.083333333334</v>
          </cell>
        </row>
        <row r="4117">
          <cell r="L4117" t="str">
            <v>Dont Account For</v>
          </cell>
          <cell r="M4117">
            <v>1213.75</v>
          </cell>
        </row>
        <row r="4118">
          <cell r="L4118" t="str">
            <v>Dont Account For</v>
          </cell>
          <cell r="M4118">
            <v>-144.16666666666669</v>
          </cell>
        </row>
        <row r="4119">
          <cell r="L4119" t="str">
            <v>Dont Account For</v>
          </cell>
          <cell r="M4119">
            <v>-809.16666666666674</v>
          </cell>
        </row>
        <row r="4120">
          <cell r="L4120" t="str">
            <v>Dont Account For</v>
          </cell>
          <cell r="M4120">
            <v>-41.666666666666671</v>
          </cell>
        </row>
        <row r="4121">
          <cell r="L4121" t="str">
            <v>Dont Account For</v>
          </cell>
          <cell r="M4121">
            <v>-30.925000000000001</v>
          </cell>
        </row>
        <row r="4122">
          <cell r="L4122" t="str">
            <v>Dont Account For</v>
          </cell>
          <cell r="M4122">
            <v>-327.9375</v>
          </cell>
        </row>
        <row r="4123">
          <cell r="L4123" t="str">
            <v>Dont Account For</v>
          </cell>
          <cell r="M4123">
            <v>-483.33333333333337</v>
          </cell>
        </row>
        <row r="4124">
          <cell r="L4124" t="str">
            <v>Dont Account For</v>
          </cell>
          <cell r="M4124">
            <v>343.75</v>
          </cell>
        </row>
        <row r="4125">
          <cell r="L4125" t="str">
            <v>Dont Account For</v>
          </cell>
          <cell r="M4125">
            <v>-745.83333333333337</v>
          </cell>
        </row>
        <row r="4126">
          <cell r="L4126" t="str">
            <v>Dont Account For</v>
          </cell>
          <cell r="M4126">
            <v>-341.66666666666669</v>
          </cell>
        </row>
        <row r="4127">
          <cell r="L4127" t="str">
            <v>Dont Account For</v>
          </cell>
          <cell r="M4127">
            <v>-366.66666666666669</v>
          </cell>
        </row>
        <row r="4128">
          <cell r="L4128" t="str">
            <v>Dont Account For</v>
          </cell>
          <cell r="M4128">
            <v>-179.16666666666669</v>
          </cell>
        </row>
        <row r="4129">
          <cell r="L4129" t="str">
            <v>Dont Account For</v>
          </cell>
          <cell r="M4129">
            <v>-179.16666666666669</v>
          </cell>
        </row>
        <row r="4130">
          <cell r="L4130" t="str">
            <v>Dont Account For</v>
          </cell>
          <cell r="M4130">
            <v>-366.66666666666669</v>
          </cell>
        </row>
        <row r="4131">
          <cell r="L4131" t="str">
            <v>Dont Account For</v>
          </cell>
          <cell r="M4131">
            <v>1257.75</v>
          </cell>
        </row>
        <row r="4132">
          <cell r="L4132" t="str">
            <v>Dont Account For</v>
          </cell>
          <cell r="M4132">
            <v>0</v>
          </cell>
        </row>
        <row r="4133">
          <cell r="L4133" t="str">
            <v>Dont Account For</v>
          </cell>
          <cell r="M4133">
            <v>16202.083333333334</v>
          </cell>
        </row>
        <row r="4134">
          <cell r="L4134" t="str">
            <v>Dont Account For</v>
          </cell>
          <cell r="M4134">
            <v>1213.75</v>
          </cell>
        </row>
        <row r="4135">
          <cell r="L4135" t="str">
            <v>Dont Account For</v>
          </cell>
          <cell r="M4135">
            <v>-144.16666666666669</v>
          </cell>
        </row>
        <row r="4136">
          <cell r="L4136" t="str">
            <v>Dont Account For</v>
          </cell>
          <cell r="M4136">
            <v>-809.16666666666674</v>
          </cell>
        </row>
        <row r="4137">
          <cell r="L4137" t="str">
            <v>Dont Account For</v>
          </cell>
          <cell r="M4137">
            <v>-41.666666666666671</v>
          </cell>
        </row>
        <row r="4138">
          <cell r="L4138" t="str">
            <v>Dont Account For</v>
          </cell>
          <cell r="M4138">
            <v>-30.925000000000001</v>
          </cell>
        </row>
        <row r="4139">
          <cell r="L4139" t="str">
            <v>Dont Account For</v>
          </cell>
          <cell r="M4139">
            <v>-327.9375</v>
          </cell>
        </row>
        <row r="4140">
          <cell r="L4140" t="str">
            <v>Dont Account For</v>
          </cell>
          <cell r="M4140">
            <v>-483.33333333333337</v>
          </cell>
        </row>
        <row r="4141">
          <cell r="L4141" t="str">
            <v>Dont Account For</v>
          </cell>
          <cell r="M4141">
            <v>343.75</v>
          </cell>
        </row>
        <row r="4142">
          <cell r="L4142" t="str">
            <v>Dont Account For</v>
          </cell>
          <cell r="M4142">
            <v>-745.83333333333337</v>
          </cell>
        </row>
        <row r="4143">
          <cell r="L4143" t="str">
            <v>Dont Account For</v>
          </cell>
          <cell r="M4143">
            <v>-341.66666666666669</v>
          </cell>
        </row>
        <row r="4144">
          <cell r="L4144" t="str">
            <v>Dont Account For</v>
          </cell>
          <cell r="M4144">
            <v>-366.66666666666669</v>
          </cell>
        </row>
        <row r="4145">
          <cell r="L4145" t="str">
            <v>Dont Account For</v>
          </cell>
          <cell r="M4145">
            <v>-179.16666666666669</v>
          </cell>
        </row>
        <row r="4146">
          <cell r="L4146" t="str">
            <v>Dont Account For</v>
          </cell>
          <cell r="M4146">
            <v>-179.16666666666669</v>
          </cell>
        </row>
        <row r="4147">
          <cell r="L4147" t="str">
            <v>Dont Account For</v>
          </cell>
          <cell r="M4147">
            <v>-366.66666666666669</v>
          </cell>
        </row>
        <row r="4148">
          <cell r="L4148" t="str">
            <v>Dont Account For</v>
          </cell>
          <cell r="M4148">
            <v>1257.75</v>
          </cell>
        </row>
        <row r="4149">
          <cell r="L4149" t="str">
            <v>Dont Account For</v>
          </cell>
          <cell r="M4149">
            <v>-112.08333333333334</v>
          </cell>
        </row>
        <row r="4150">
          <cell r="L4150" t="str">
            <v>Dont Account For</v>
          </cell>
          <cell r="M4150">
            <v>-25</v>
          </cell>
        </row>
        <row r="4151">
          <cell r="L4151" t="str">
            <v>Dont Account For</v>
          </cell>
          <cell r="M4151">
            <v>-103.75</v>
          </cell>
        </row>
        <row r="4152">
          <cell r="L4152" t="str">
            <v>Dont Account For</v>
          </cell>
          <cell r="M4152">
            <v>-103.75</v>
          </cell>
        </row>
        <row r="4153">
          <cell r="L4153" t="str">
            <v>Dont Account For</v>
          </cell>
          <cell r="M4153">
            <v>-11.25</v>
          </cell>
        </row>
        <row r="4154">
          <cell r="L4154" t="str">
            <v>Dont Account For</v>
          </cell>
          <cell r="M4154">
            <v>-103.75</v>
          </cell>
        </row>
        <row r="4155">
          <cell r="L4155" t="str">
            <v>Dont Account For</v>
          </cell>
          <cell r="M4155">
            <v>-12.5</v>
          </cell>
        </row>
        <row r="4156">
          <cell r="L4156" t="str">
            <v>Dont Account For</v>
          </cell>
          <cell r="M4156">
            <v>-104.16666666666667</v>
          </cell>
        </row>
        <row r="4157">
          <cell r="L4157" t="str">
            <v>Dont Account For</v>
          </cell>
          <cell r="M4157">
            <v>-195.41666666666669</v>
          </cell>
        </row>
        <row r="4158">
          <cell r="L4158" t="str">
            <v>Dont Account For</v>
          </cell>
          <cell r="M4158">
            <v>-25</v>
          </cell>
        </row>
        <row r="4159">
          <cell r="L4159" t="str">
            <v>Dont Account For</v>
          </cell>
          <cell r="M4159">
            <v>-22.083333333333336</v>
          </cell>
        </row>
        <row r="4160">
          <cell r="L4160" t="str">
            <v>Dont Account For</v>
          </cell>
          <cell r="M4160">
            <v>-172.91666666666669</v>
          </cell>
        </row>
        <row r="4161">
          <cell r="L4161" t="str">
            <v>Dont Account For</v>
          </cell>
          <cell r="M4161">
            <v>-12.5</v>
          </cell>
        </row>
        <row r="4162">
          <cell r="L4162" t="str">
            <v>Dont Account For</v>
          </cell>
          <cell r="M4162">
            <v>-103.75</v>
          </cell>
        </row>
        <row r="4163">
          <cell r="L4163" t="str">
            <v>Dont Account For</v>
          </cell>
          <cell r="M4163">
            <v>-144.58333333333334</v>
          </cell>
        </row>
        <row r="4164">
          <cell r="L4164" t="str">
            <v>Dont Account For</v>
          </cell>
          <cell r="M4164">
            <v>-25</v>
          </cell>
        </row>
        <row r="4165">
          <cell r="L4165" t="str">
            <v>Dont Account For</v>
          </cell>
          <cell r="M4165">
            <v>-103.75</v>
          </cell>
        </row>
        <row r="4166">
          <cell r="L4166" t="str">
            <v>Dont Account For</v>
          </cell>
          <cell r="M4166">
            <v>-96.25</v>
          </cell>
        </row>
        <row r="4167">
          <cell r="L4167" t="str">
            <v>Dont Account For</v>
          </cell>
          <cell r="M4167">
            <v>-103.75</v>
          </cell>
        </row>
        <row r="4168">
          <cell r="L4168" t="str">
            <v>Dont Account For</v>
          </cell>
          <cell r="M4168">
            <v>-56.666666666666671</v>
          </cell>
        </row>
        <row r="4169">
          <cell r="L4169" t="str">
            <v>Dont Account For</v>
          </cell>
          <cell r="M4169">
            <v>-8.75</v>
          </cell>
        </row>
        <row r="4170">
          <cell r="L4170" t="str">
            <v>Dont Account For</v>
          </cell>
          <cell r="M4170">
            <v>-103.75</v>
          </cell>
        </row>
        <row r="4171">
          <cell r="L4171" t="str">
            <v>Dont Account For</v>
          </cell>
          <cell r="M4171">
            <v>-173.75</v>
          </cell>
        </row>
        <row r="4172">
          <cell r="L4172" t="str">
            <v>Dont Account For</v>
          </cell>
          <cell r="M4172">
            <v>-103.75</v>
          </cell>
        </row>
        <row r="4173">
          <cell r="L4173" t="str">
            <v>Dont Account For</v>
          </cell>
          <cell r="M4173">
            <v>-10.416666666666668</v>
          </cell>
        </row>
        <row r="4174">
          <cell r="L4174" t="str">
            <v>Dont Account For</v>
          </cell>
          <cell r="M4174">
            <v>-103.75</v>
          </cell>
        </row>
        <row r="4175">
          <cell r="L4175" t="str">
            <v>Dont Account For</v>
          </cell>
          <cell r="M4175">
            <v>-10.416666666666668</v>
          </cell>
        </row>
        <row r="4176">
          <cell r="L4176" t="str">
            <v>Dont Account For</v>
          </cell>
          <cell r="M4176">
            <v>-103.75</v>
          </cell>
        </row>
        <row r="4177">
          <cell r="L4177" t="str">
            <v>Dont Account For</v>
          </cell>
          <cell r="M4177">
            <v>-75</v>
          </cell>
        </row>
        <row r="4178">
          <cell r="L4178" t="str">
            <v>Dont Account For</v>
          </cell>
          <cell r="M4178">
            <v>-103.75</v>
          </cell>
        </row>
        <row r="4179">
          <cell r="L4179" t="str">
            <v>Dont Account For</v>
          </cell>
          <cell r="M4179">
            <v>-4.166666666666667</v>
          </cell>
        </row>
        <row r="4180">
          <cell r="L4180" t="str">
            <v>Dont Account For</v>
          </cell>
          <cell r="M4180">
            <v>-138.75</v>
          </cell>
        </row>
        <row r="4181">
          <cell r="L4181" t="str">
            <v>Dont Account For</v>
          </cell>
          <cell r="M4181">
            <v>-103.75</v>
          </cell>
        </row>
        <row r="4182">
          <cell r="L4182" t="str">
            <v>Dont Account For</v>
          </cell>
          <cell r="M4182">
            <v>-10.416666666666668</v>
          </cell>
        </row>
        <row r="4183">
          <cell r="L4183" t="str">
            <v>Dont Account For</v>
          </cell>
          <cell r="M4183">
            <v>-103.75</v>
          </cell>
        </row>
        <row r="4184">
          <cell r="L4184" t="str">
            <v>Dont Account For</v>
          </cell>
          <cell r="M4184">
            <v>-56.25</v>
          </cell>
        </row>
        <row r="4185">
          <cell r="L4185" t="str">
            <v>Dont Account For</v>
          </cell>
          <cell r="M4185">
            <v>-103.75</v>
          </cell>
        </row>
        <row r="4186">
          <cell r="L4186" t="str">
            <v>Dont Account For</v>
          </cell>
          <cell r="M4186">
            <v>-10.416666666666668</v>
          </cell>
        </row>
        <row r="4187">
          <cell r="L4187" t="str">
            <v>Dont Account For</v>
          </cell>
          <cell r="M4187">
            <v>-103.75</v>
          </cell>
        </row>
        <row r="4188">
          <cell r="L4188" t="str">
            <v>Dont Account For</v>
          </cell>
          <cell r="M4188">
            <v>-10.416666666666668</v>
          </cell>
        </row>
        <row r="4189">
          <cell r="L4189" t="str">
            <v>Dont Account For</v>
          </cell>
          <cell r="M4189">
            <v>-103.75</v>
          </cell>
        </row>
        <row r="4190">
          <cell r="L4190" t="str">
            <v>Dont Account For</v>
          </cell>
          <cell r="M4190">
            <v>-142.08333333333334</v>
          </cell>
        </row>
        <row r="4191">
          <cell r="L4191" t="str">
            <v>Dont Account For</v>
          </cell>
          <cell r="M4191">
            <v>-103.75</v>
          </cell>
        </row>
        <row r="4192">
          <cell r="L4192" t="str">
            <v>Dont Account For</v>
          </cell>
          <cell r="M4192">
            <v>0</v>
          </cell>
        </row>
        <row r="4193">
          <cell r="L4193" t="str">
            <v>Dont Account For</v>
          </cell>
          <cell r="M4193">
            <v>-1169.6041666666667</v>
          </cell>
        </row>
        <row r="4194">
          <cell r="L4194" t="str">
            <v>Dont Account For</v>
          </cell>
          <cell r="M4194">
            <v>-283.82499999999999</v>
          </cell>
        </row>
        <row r="4195">
          <cell r="L4195" t="str">
            <v>Dont Account For</v>
          </cell>
          <cell r="M4195">
            <v>0</v>
          </cell>
        </row>
        <row r="4196">
          <cell r="L4196" t="str">
            <v>Dont Account For</v>
          </cell>
          <cell r="M4196">
            <v>-1169.6041666666667</v>
          </cell>
        </row>
        <row r="4197">
          <cell r="L4197" t="str">
            <v>Dont Account For</v>
          </cell>
          <cell r="M4197">
            <v>-283.82499999999999</v>
          </cell>
        </row>
        <row r="4198">
          <cell r="L4198" t="str">
            <v>Dont Account For</v>
          </cell>
          <cell r="M4198">
            <v>0</v>
          </cell>
        </row>
        <row r="4199">
          <cell r="L4199" t="str">
            <v>Dont Account For</v>
          </cell>
          <cell r="M4199">
            <v>-258.91666666666669</v>
          </cell>
        </row>
        <row r="4200">
          <cell r="L4200" t="str">
            <v>Dont Account For</v>
          </cell>
          <cell r="M4200">
            <v>-1194.5125</v>
          </cell>
        </row>
        <row r="4201">
          <cell r="L4201" t="str">
            <v>Dont Account For</v>
          </cell>
          <cell r="M4201">
            <v>0</v>
          </cell>
        </row>
        <row r="4202">
          <cell r="L4202" t="str">
            <v>Dont Account For</v>
          </cell>
          <cell r="M4202">
            <v>-1453.4291666666668</v>
          </cell>
        </row>
        <row r="4203">
          <cell r="L4203" t="str">
            <v>Dont Account For</v>
          </cell>
          <cell r="M4203">
            <v>0</v>
          </cell>
        </row>
        <row r="4204">
          <cell r="L4204" t="str">
            <v>Dont Account For</v>
          </cell>
          <cell r="M4204">
            <v>0</v>
          </cell>
        </row>
        <row r="4205">
          <cell r="L4205" t="str">
            <v>Dont Account For</v>
          </cell>
          <cell r="M4205">
            <v>-1453.4291666666668</v>
          </cell>
        </row>
        <row r="4206">
          <cell r="L4206" t="str">
            <v>Dont Account For</v>
          </cell>
          <cell r="M4206">
            <v>0</v>
          </cell>
        </row>
        <row r="4207">
          <cell r="L4207" t="str">
            <v>Dont Account For</v>
          </cell>
          <cell r="M4207">
            <v>0</v>
          </cell>
        </row>
        <row r="4208">
          <cell r="L4208" t="str">
            <v>Dont Account For</v>
          </cell>
          <cell r="M4208">
            <v>-1453.4291666666668</v>
          </cell>
        </row>
        <row r="4209">
          <cell r="L4209" t="str">
            <v>Dont Account For</v>
          </cell>
          <cell r="M4209">
            <v>0</v>
          </cell>
        </row>
        <row r="4210">
          <cell r="L4210" t="str">
            <v>Dont Account For</v>
          </cell>
          <cell r="M4210">
            <v>0</v>
          </cell>
        </row>
        <row r="4211">
          <cell r="L4211" t="str">
            <v>Dont Account For</v>
          </cell>
          <cell r="M4211">
            <v>-1453.4291666666668</v>
          </cell>
        </row>
        <row r="4212">
          <cell r="L4212" t="str">
            <v>Dont Account For</v>
          </cell>
          <cell r="M4212">
            <v>0</v>
          </cell>
        </row>
        <row r="4213">
          <cell r="L4213" t="str">
            <v>Dont Account For</v>
          </cell>
          <cell r="M4213">
            <v>0</v>
          </cell>
        </row>
        <row r="4214">
          <cell r="L4214" t="str">
            <v>Dont Account For</v>
          </cell>
          <cell r="M4214">
            <v>-1453.4291666666668</v>
          </cell>
        </row>
        <row r="4215">
          <cell r="L4215" t="str">
            <v>Dont Account For</v>
          </cell>
          <cell r="M4215">
            <v>0</v>
          </cell>
        </row>
        <row r="4216">
          <cell r="L4216" t="str">
            <v>Dont Account For</v>
          </cell>
          <cell r="M4216">
            <v>0</v>
          </cell>
        </row>
        <row r="4217">
          <cell r="L4217" t="str">
            <v>Dont Account For</v>
          </cell>
          <cell r="M4217">
            <v>-1453.4291666666668</v>
          </cell>
        </row>
        <row r="4218">
          <cell r="L4218" t="str">
            <v>Dont Account For</v>
          </cell>
          <cell r="M4218">
            <v>0</v>
          </cell>
        </row>
        <row r="4219">
          <cell r="L4219" t="str">
            <v>Dont Account For</v>
          </cell>
          <cell r="M4219">
            <v>0</v>
          </cell>
        </row>
        <row r="4220">
          <cell r="L4220" t="str">
            <v>Dont Account For</v>
          </cell>
          <cell r="M4220">
            <v>-1453.4291666666668</v>
          </cell>
        </row>
        <row r="4221">
          <cell r="L4221" t="str">
            <v>Dont Account For</v>
          </cell>
          <cell r="M4221">
            <v>0</v>
          </cell>
        </row>
        <row r="4222">
          <cell r="L4222" t="str">
            <v>Dont Account For</v>
          </cell>
          <cell r="M4222">
            <v>0</v>
          </cell>
        </row>
        <row r="4223">
          <cell r="L4223" t="str">
            <v>Dont Account For</v>
          </cell>
          <cell r="M4223">
            <v>-1453.4291666666668</v>
          </cell>
        </row>
        <row r="4224">
          <cell r="L4224" t="str">
            <v>Dont Account For</v>
          </cell>
          <cell r="M4224">
            <v>0</v>
          </cell>
        </row>
        <row r="4225">
          <cell r="L4225" t="str">
            <v>Dont Account For</v>
          </cell>
          <cell r="M4225">
            <v>0</v>
          </cell>
        </row>
        <row r="4226">
          <cell r="L4226" t="str">
            <v>Dont Account For</v>
          </cell>
          <cell r="M4226">
            <v>-1453.4291666666668</v>
          </cell>
        </row>
        <row r="4227">
          <cell r="L4227" t="str">
            <v>Dont Account For</v>
          </cell>
          <cell r="M4227">
            <v>0</v>
          </cell>
        </row>
        <row r="4228">
          <cell r="L4228" t="str">
            <v>Dont Account For</v>
          </cell>
          <cell r="M4228">
            <v>-1453.4291666666668</v>
          </cell>
        </row>
        <row r="4229">
          <cell r="L4229" t="str">
            <v>Dont Account For</v>
          </cell>
          <cell r="M4229">
            <v>-1453.4291666666668</v>
          </cell>
        </row>
        <row r="4230">
          <cell r="L4230" t="str">
            <v>Dont Account For</v>
          </cell>
          <cell r="M4230">
            <v>-1453.4291666666668</v>
          </cell>
        </row>
        <row r="4231">
          <cell r="L4231" t="str">
            <v>Dont Account For</v>
          </cell>
          <cell r="M4231">
            <v>-1453.4291666666668</v>
          </cell>
        </row>
        <row r="4232">
          <cell r="L4232" t="str">
            <v>Dont Account For</v>
          </cell>
          <cell r="M4232">
            <v>-1453.4291666666668</v>
          </cell>
        </row>
        <row r="4233">
          <cell r="L4233" t="str">
            <v>Dont Account For</v>
          </cell>
          <cell r="M4233">
            <v>-1453.4291666666668</v>
          </cell>
        </row>
        <row r="4234">
          <cell r="L4234" t="str">
            <v>Dont Account For</v>
          </cell>
          <cell r="M4234">
            <v>-1453.4291666666668</v>
          </cell>
        </row>
        <row r="4235">
          <cell r="L4235" t="str">
            <v>Dont Account For</v>
          </cell>
          <cell r="M4235">
            <v>-8333.3333333333339</v>
          </cell>
        </row>
        <row r="4236">
          <cell r="L4236" t="str">
            <v>Dont Account For</v>
          </cell>
          <cell r="M4236">
            <v>-1666.6666666666667</v>
          </cell>
        </row>
        <row r="4237">
          <cell r="L4237" t="str">
            <v>Dont Account For</v>
          </cell>
          <cell r="M4237">
            <v>-4166.666666666667</v>
          </cell>
        </row>
        <row r="4238">
          <cell r="L4238" t="str">
            <v>Dont Account For</v>
          </cell>
          <cell r="M4238">
            <v>-833.33333333333337</v>
          </cell>
        </row>
        <row r="4239">
          <cell r="L4239" t="str">
            <v>Dont Account For</v>
          </cell>
          <cell r="M4239">
            <v>-12500</v>
          </cell>
        </row>
        <row r="4240">
          <cell r="L4240" t="str">
            <v>Dont Account For</v>
          </cell>
          <cell r="M4240">
            <v>-5000</v>
          </cell>
        </row>
        <row r="4241">
          <cell r="L4241" t="str">
            <v>Dont Account For</v>
          </cell>
          <cell r="M4241">
            <v>-11041.666666666668</v>
          </cell>
        </row>
        <row r="4242">
          <cell r="L4242" t="str">
            <v>Dont Account For</v>
          </cell>
          <cell r="M4242">
            <v>-3750</v>
          </cell>
        </row>
        <row r="4243">
          <cell r="L4243" t="str">
            <v>Dont Account For</v>
          </cell>
          <cell r="M4243">
            <v>-8333.3333333333339</v>
          </cell>
        </row>
        <row r="4244">
          <cell r="L4244" t="str">
            <v>Dont Account For</v>
          </cell>
          <cell r="M4244">
            <v>-4166.666666666667</v>
          </cell>
        </row>
        <row r="4245">
          <cell r="L4245" t="str">
            <v>Dont Account For</v>
          </cell>
          <cell r="M4245">
            <v>-1458.3333333333335</v>
          </cell>
        </row>
        <row r="4246">
          <cell r="L4246" t="str">
            <v>Dont Account For</v>
          </cell>
          <cell r="M4246">
            <v>-8333.3333333333339</v>
          </cell>
        </row>
        <row r="4247">
          <cell r="L4247" t="str">
            <v>Dont Account For</v>
          </cell>
          <cell r="M4247">
            <v>-2916.666666666667</v>
          </cell>
        </row>
        <row r="4248">
          <cell r="L4248" t="str">
            <v>Dont Account For</v>
          </cell>
          <cell r="M4248">
            <v>-1250</v>
          </cell>
        </row>
        <row r="4249">
          <cell r="L4249" t="str">
            <v>Dont Account For</v>
          </cell>
          <cell r="M4249">
            <v>-4166.666666666667</v>
          </cell>
        </row>
        <row r="4250">
          <cell r="L4250" t="str">
            <v>Dont Account For</v>
          </cell>
          <cell r="M4250">
            <v>-10416.666666666668</v>
          </cell>
        </row>
        <row r="4251">
          <cell r="L4251" t="str">
            <v>Dont Account For</v>
          </cell>
          <cell r="M4251">
            <v>-3333.3333333333335</v>
          </cell>
        </row>
        <row r="4252">
          <cell r="L4252" t="str">
            <v>Dont Account For</v>
          </cell>
          <cell r="M4252">
            <v>-6666.666666666667</v>
          </cell>
        </row>
        <row r="4253">
          <cell r="L4253" t="str">
            <v>Dont Account For</v>
          </cell>
          <cell r="M4253">
            <v>-6250</v>
          </cell>
        </row>
        <row r="4254">
          <cell r="L4254" t="str">
            <v>Dont Account For</v>
          </cell>
          <cell r="M4254">
            <v>-1041.6666666666667</v>
          </cell>
        </row>
        <row r="4255">
          <cell r="L4255" t="str">
            <v>Dont Account For</v>
          </cell>
          <cell r="M4255">
            <v>-7791.666666666667</v>
          </cell>
        </row>
        <row r="4256">
          <cell r="L4256" t="str">
            <v>Dont Account For</v>
          </cell>
          <cell r="M4256">
            <v>-8333.3333333333339</v>
          </cell>
        </row>
        <row r="4257">
          <cell r="L4257" t="str">
            <v>Dont Account For</v>
          </cell>
          <cell r="M4257">
            <v>-2500</v>
          </cell>
        </row>
        <row r="4258">
          <cell r="L4258" t="str">
            <v>Dont Account For</v>
          </cell>
          <cell r="M4258">
            <v>-12500</v>
          </cell>
        </row>
        <row r="4259">
          <cell r="L4259" t="str">
            <v>Dont Account For</v>
          </cell>
          <cell r="M4259">
            <v>-6250</v>
          </cell>
        </row>
        <row r="4260">
          <cell r="L4260" t="str">
            <v>Dont Account For</v>
          </cell>
          <cell r="M4260">
            <v>-3750</v>
          </cell>
        </row>
        <row r="4261">
          <cell r="L4261" t="str">
            <v>Dont Account For</v>
          </cell>
          <cell r="M4261">
            <v>-8333.3333333333339</v>
          </cell>
        </row>
        <row r="4262">
          <cell r="L4262" t="str">
            <v>Dont Account For</v>
          </cell>
          <cell r="M4262">
            <v>-1666.6666666666667</v>
          </cell>
        </row>
        <row r="4263">
          <cell r="L4263" t="str">
            <v>Dont Account For</v>
          </cell>
          <cell r="M4263">
            <v>-3750</v>
          </cell>
        </row>
        <row r="4264">
          <cell r="L4264" t="str">
            <v>Dont Account For</v>
          </cell>
          <cell r="M4264">
            <v>-19166.666666666668</v>
          </cell>
        </row>
        <row r="4265">
          <cell r="L4265" t="str">
            <v>Dont Account For</v>
          </cell>
          <cell r="M4265">
            <v>-5416.666666666667</v>
          </cell>
        </row>
        <row r="4266">
          <cell r="L4266" t="str">
            <v>Dont Account For</v>
          </cell>
          <cell r="M4266">
            <v>-14166.666666666668</v>
          </cell>
        </row>
        <row r="4267">
          <cell r="L4267" t="str">
            <v>Dont Account For</v>
          </cell>
          <cell r="M4267">
            <v>-2083.3333333333335</v>
          </cell>
        </row>
        <row r="4268">
          <cell r="L4268" t="str">
            <v>Dont Account For</v>
          </cell>
          <cell r="M4268">
            <v>-2500</v>
          </cell>
        </row>
        <row r="4269">
          <cell r="L4269" t="str">
            <v>Dont Account For</v>
          </cell>
          <cell r="M4269">
            <v>-2500</v>
          </cell>
        </row>
        <row r="4270">
          <cell r="L4270" t="str">
            <v>Dont Account For</v>
          </cell>
          <cell r="M4270">
            <v>-14041.666666666668</v>
          </cell>
        </row>
        <row r="4271">
          <cell r="L4271" t="str">
            <v>Dont Account For</v>
          </cell>
          <cell r="M4271">
            <v>-3458.3333333333335</v>
          </cell>
        </row>
        <row r="4272">
          <cell r="L4272" t="str">
            <v>Dont Account For</v>
          </cell>
          <cell r="M4272">
            <v>-6333.3333333333339</v>
          </cell>
        </row>
        <row r="4273">
          <cell r="L4273" t="str">
            <v>Dont Account For</v>
          </cell>
          <cell r="M4273">
            <v>-6125</v>
          </cell>
        </row>
        <row r="4274">
          <cell r="L4274" t="str">
            <v>Dont Account For</v>
          </cell>
          <cell r="M4274">
            <v>-5000</v>
          </cell>
        </row>
        <row r="4275">
          <cell r="L4275" t="str">
            <v>Dont Account For</v>
          </cell>
          <cell r="M4275">
            <v>-2500</v>
          </cell>
        </row>
        <row r="4276">
          <cell r="L4276" t="str">
            <v>Dont Account For</v>
          </cell>
          <cell r="M4276">
            <v>-11666.666666666668</v>
          </cell>
        </row>
        <row r="4277">
          <cell r="L4277" t="str">
            <v>Dont Account For</v>
          </cell>
          <cell r="M4277">
            <v>-2916.666666666667</v>
          </cell>
        </row>
        <row r="4278">
          <cell r="L4278" t="str">
            <v>Dont Account For</v>
          </cell>
          <cell r="M4278">
            <v>-2083.3333333333335</v>
          </cell>
        </row>
        <row r="4279">
          <cell r="L4279" t="str">
            <v>Dont Account For</v>
          </cell>
          <cell r="M4279">
            <v>-6250</v>
          </cell>
        </row>
        <row r="4280">
          <cell r="L4280" t="str">
            <v>Dont Account For</v>
          </cell>
          <cell r="M4280">
            <v>-4166.666666666667</v>
          </cell>
        </row>
        <row r="4281">
          <cell r="L4281" t="str">
            <v>Dont Account For</v>
          </cell>
          <cell r="M4281">
            <v>-8208.3333333333339</v>
          </cell>
        </row>
        <row r="4282">
          <cell r="L4282" t="str">
            <v>Dont Account For</v>
          </cell>
          <cell r="M4282">
            <v>-3000</v>
          </cell>
        </row>
        <row r="4283">
          <cell r="L4283" t="str">
            <v>Dont Account For</v>
          </cell>
          <cell r="M4283">
            <v>-2375</v>
          </cell>
        </row>
        <row r="4284">
          <cell r="L4284" t="str">
            <v>Dont Account For</v>
          </cell>
          <cell r="M4284">
            <v>-3063.7416666666668</v>
          </cell>
        </row>
        <row r="4285">
          <cell r="L4285" t="str">
            <v>Dont Account For</v>
          </cell>
          <cell r="M4285">
            <v>-11625</v>
          </cell>
        </row>
        <row r="4286">
          <cell r="L4286" t="str">
            <v>Bank Charges</v>
          </cell>
          <cell r="M4286">
            <v>-20.833333333333336</v>
          </cell>
        </row>
        <row r="4287">
          <cell r="L4287" t="str">
            <v>Bank Charges</v>
          </cell>
          <cell r="M4287">
            <v>-20.833333333333336</v>
          </cell>
        </row>
        <row r="4288">
          <cell r="L4288" t="str">
            <v>Bank Charges</v>
          </cell>
          <cell r="M4288">
            <v>-20.833333333333336</v>
          </cell>
        </row>
        <row r="4289">
          <cell r="L4289" t="str">
            <v>Unknown</v>
          </cell>
          <cell r="M4289">
            <v>-40</v>
          </cell>
        </row>
        <row r="4290">
          <cell r="L4290" t="str">
            <v>Doctor</v>
          </cell>
          <cell r="M4290">
            <v>-88</v>
          </cell>
        </row>
        <row r="4291">
          <cell r="L4291" t="str">
            <v>Dont Account For</v>
          </cell>
          <cell r="M4291">
            <v>27.5</v>
          </cell>
        </row>
        <row r="4292">
          <cell r="L4292" t="str">
            <v>Unknown</v>
          </cell>
          <cell r="M4292">
            <v>-7.5</v>
          </cell>
        </row>
        <row r="4293">
          <cell r="L4293" t="str">
            <v>Unknown</v>
          </cell>
          <cell r="M4293">
            <v>-11.43</v>
          </cell>
        </row>
        <row r="4294">
          <cell r="L4294" t="str">
            <v>Dont Account For</v>
          </cell>
          <cell r="M4294">
            <v>-140</v>
          </cell>
        </row>
        <row r="4295">
          <cell r="L4295" t="str">
            <v>Bank Charges</v>
          </cell>
          <cell r="M4295">
            <v>-1.5</v>
          </cell>
        </row>
        <row r="4296">
          <cell r="L4296" t="str">
            <v>Dont Account For</v>
          </cell>
          <cell r="M4296">
            <v>-300</v>
          </cell>
        </row>
        <row r="4297">
          <cell r="L4297" t="str">
            <v>Dont Account For</v>
          </cell>
          <cell r="M4297">
            <v>-300</v>
          </cell>
        </row>
        <row r="4298">
          <cell r="L4298" t="str">
            <v>Minerva Rent</v>
          </cell>
          <cell r="M4298">
            <v>688.08</v>
          </cell>
        </row>
        <row r="4299">
          <cell r="L4299" t="str">
            <v>Bank Charges</v>
          </cell>
          <cell r="M4299">
            <v>-2.7</v>
          </cell>
        </row>
        <row r="4300">
          <cell r="L4300" t="str">
            <v>Medicare Refund</v>
          </cell>
          <cell r="M4300">
            <v>32.799999999999997</v>
          </cell>
        </row>
        <row r="4301">
          <cell r="L4301" t="str">
            <v>Unknown</v>
          </cell>
          <cell r="M4301">
            <v>-100</v>
          </cell>
        </row>
        <row r="4302">
          <cell r="L4302" t="str">
            <v>Medicare Refund</v>
          </cell>
          <cell r="M4302">
            <v>32.799999999999997</v>
          </cell>
        </row>
        <row r="4303">
          <cell r="L4303" t="str">
            <v>Medicare Refund</v>
          </cell>
          <cell r="M4303">
            <v>32.799999999999997</v>
          </cell>
        </row>
        <row r="4304">
          <cell r="L4304" t="str">
            <v>Dont Account For</v>
          </cell>
          <cell r="M4304">
            <v>-100</v>
          </cell>
        </row>
        <row r="4305">
          <cell r="L4305" t="str">
            <v>Unknown</v>
          </cell>
          <cell r="M4305">
            <v>-110</v>
          </cell>
        </row>
        <row r="4306">
          <cell r="L4306" t="str">
            <v>Dont Account For</v>
          </cell>
          <cell r="M4306">
            <v>-114</v>
          </cell>
        </row>
        <row r="4307">
          <cell r="L4307" t="str">
            <v>Dont Account For</v>
          </cell>
          <cell r="M4307">
            <v>-60</v>
          </cell>
        </row>
        <row r="4308">
          <cell r="L4308" t="str">
            <v>Medicare Refund</v>
          </cell>
          <cell r="M4308">
            <v>32.799999999999997</v>
          </cell>
        </row>
        <row r="4309">
          <cell r="L4309" t="str">
            <v>Clothing</v>
          </cell>
          <cell r="M4309">
            <v>-151.14333333333335</v>
          </cell>
        </row>
        <row r="4310">
          <cell r="L4310" t="str">
            <v>Eating Out</v>
          </cell>
          <cell r="M4310">
            <v>-23.746666666666666</v>
          </cell>
        </row>
        <row r="4311">
          <cell r="L4311" t="str">
            <v>Eating Out</v>
          </cell>
          <cell r="M4311">
            <v>-58.566666666666663</v>
          </cell>
        </row>
        <row r="4312">
          <cell r="L4312" t="str">
            <v>Petrol</v>
          </cell>
          <cell r="M4312">
            <v>-22.616666666666664</v>
          </cell>
        </row>
        <row r="4313">
          <cell r="L4313" t="str">
            <v>Eating Out</v>
          </cell>
          <cell r="M4313">
            <v>-15.486666666666666</v>
          </cell>
        </row>
        <row r="4314">
          <cell r="L4314" t="str">
            <v>Groceries</v>
          </cell>
          <cell r="M4314">
            <v>-82.833333333333329</v>
          </cell>
        </row>
        <row r="4315">
          <cell r="L4315" t="str">
            <v>Unknown</v>
          </cell>
          <cell r="M4315">
            <v>-14.693333333333333</v>
          </cell>
        </row>
        <row r="4316">
          <cell r="L4316" t="str">
            <v>Groceries</v>
          </cell>
          <cell r="M4316">
            <v>-16.900000000000002</v>
          </cell>
        </row>
        <row r="4317">
          <cell r="L4317" t="str">
            <v>Department Store</v>
          </cell>
          <cell r="M4317">
            <v>-52.636666666666663</v>
          </cell>
        </row>
        <row r="4318">
          <cell r="L4318" t="str">
            <v>Dont Account For</v>
          </cell>
          <cell r="M4318">
            <v>-28.27333333333333</v>
          </cell>
        </row>
        <row r="4319">
          <cell r="L4319" t="str">
            <v>Eating Out</v>
          </cell>
          <cell r="M4319">
            <v>-29.426666666666666</v>
          </cell>
        </row>
        <row r="4320">
          <cell r="L4320" t="str">
            <v>Activities</v>
          </cell>
          <cell r="M4320">
            <v>-7.3900000000000006</v>
          </cell>
        </row>
        <row r="4321">
          <cell r="L4321" t="str">
            <v>Dont Account For</v>
          </cell>
          <cell r="M4321">
            <v>-35.233333333333334</v>
          </cell>
        </row>
        <row r="4322">
          <cell r="L4322" t="str">
            <v>Dont Account For</v>
          </cell>
          <cell r="M4322">
            <v>-258.33333333333331</v>
          </cell>
        </row>
        <row r="4323">
          <cell r="L4323" t="str">
            <v>VOIP</v>
          </cell>
          <cell r="M4323">
            <v>-14.42</v>
          </cell>
        </row>
        <row r="4324">
          <cell r="L4324" t="str">
            <v>Dont Account For</v>
          </cell>
          <cell r="M4324">
            <v>2648.66</v>
          </cell>
        </row>
        <row r="4325">
          <cell r="L4325" t="str">
            <v>Computer Software</v>
          </cell>
          <cell r="M4325">
            <v>-21.056666666666668</v>
          </cell>
        </row>
        <row r="4326">
          <cell r="L4326" t="str">
            <v>Dont Account For</v>
          </cell>
          <cell r="M4326">
            <v>-20.966666666666665</v>
          </cell>
        </row>
        <row r="4327">
          <cell r="L4327" t="str">
            <v>Dont Account For</v>
          </cell>
          <cell r="M4327">
            <v>-27.333333333333332</v>
          </cell>
        </row>
        <row r="4328">
          <cell r="L4328" t="str">
            <v>Dont Account For</v>
          </cell>
          <cell r="M4328">
            <v>1666.6666666666667</v>
          </cell>
        </row>
        <row r="4329">
          <cell r="L4329" t="str">
            <v>Dont Account For</v>
          </cell>
          <cell r="M4329">
            <v>-9</v>
          </cell>
        </row>
        <row r="4330">
          <cell r="L4330" t="str">
            <v>Dont Account For</v>
          </cell>
          <cell r="M4330">
            <v>-1207.7966666666666</v>
          </cell>
        </row>
        <row r="4331">
          <cell r="L4331" t="str">
            <v>Dont Account For</v>
          </cell>
          <cell r="M4331">
            <v>-152.95000000000002</v>
          </cell>
        </row>
        <row r="4332">
          <cell r="L4332" t="str">
            <v>Groceries</v>
          </cell>
          <cell r="M4332">
            <v>-92.453333333333333</v>
          </cell>
        </row>
        <row r="4333">
          <cell r="L4333" t="str">
            <v>Petrol</v>
          </cell>
          <cell r="M4333">
            <v>-18.75</v>
          </cell>
        </row>
        <row r="4334">
          <cell r="L4334" t="str">
            <v>Unknown</v>
          </cell>
          <cell r="M4334">
            <v>-136.88333333333333</v>
          </cell>
        </row>
        <row r="4335">
          <cell r="L4335" t="str">
            <v>Dont Account For</v>
          </cell>
          <cell r="M4335">
            <v>-1666.6666666666667</v>
          </cell>
        </row>
        <row r="4336">
          <cell r="L4336" t="str">
            <v>Dont Account For</v>
          </cell>
          <cell r="M4336">
            <v>-1666.6666666666667</v>
          </cell>
        </row>
        <row r="4337">
          <cell r="L4337" t="str">
            <v>Dont Account For</v>
          </cell>
          <cell r="M4337">
            <v>-2000</v>
          </cell>
        </row>
        <row r="4338">
          <cell r="L4338" t="str">
            <v>Dont Account For</v>
          </cell>
          <cell r="M4338">
            <v>-2648.66</v>
          </cell>
        </row>
        <row r="4339">
          <cell r="L4339" t="str">
            <v>Dont Account For</v>
          </cell>
          <cell r="M4339">
            <v>-1663.5766666666666</v>
          </cell>
        </row>
        <row r="4340">
          <cell r="L4340" t="str">
            <v>Bank Charges</v>
          </cell>
          <cell r="M4340">
            <v>-1162.7433333333333</v>
          </cell>
        </row>
        <row r="4341">
          <cell r="L4341" t="str">
            <v>Dont Account For</v>
          </cell>
          <cell r="M4341">
            <v>-83</v>
          </cell>
        </row>
        <row r="4342">
          <cell r="L4342" t="str">
            <v>Dont Account For</v>
          </cell>
          <cell r="M4342">
            <v>-44.666666666666664</v>
          </cell>
        </row>
        <row r="4343">
          <cell r="L4343" t="str">
            <v>Dont Account For</v>
          </cell>
          <cell r="M4343">
            <v>12961.666666666666</v>
          </cell>
        </row>
        <row r="4344">
          <cell r="L4344" t="str">
            <v>Dont Account For</v>
          </cell>
          <cell r="M4344">
            <v>971</v>
          </cell>
        </row>
        <row r="4345">
          <cell r="L4345" t="str">
            <v>Dont Account For</v>
          </cell>
          <cell r="M4345">
            <v>-115.33333333333333</v>
          </cell>
        </row>
        <row r="4346">
          <cell r="L4346" t="str">
            <v>Dont Account For</v>
          </cell>
          <cell r="M4346">
            <v>-647.33333333333337</v>
          </cell>
        </row>
        <row r="4347">
          <cell r="L4347" t="str">
            <v>Dont Account For</v>
          </cell>
          <cell r="M4347">
            <v>-33.333333333333336</v>
          </cell>
        </row>
        <row r="4348">
          <cell r="L4348" t="str">
            <v>Dont Account For</v>
          </cell>
          <cell r="M4348">
            <v>-24.74</v>
          </cell>
        </row>
        <row r="4349">
          <cell r="L4349" t="str">
            <v>Dont Account For</v>
          </cell>
          <cell r="M4349">
            <v>-262.34999999999997</v>
          </cell>
        </row>
        <row r="4350">
          <cell r="L4350" t="str">
            <v>Dont Account For</v>
          </cell>
          <cell r="M4350">
            <v>-386.66666666666669</v>
          </cell>
        </row>
        <row r="4351">
          <cell r="L4351" t="str">
            <v>Dont Account For</v>
          </cell>
          <cell r="M4351">
            <v>275</v>
          </cell>
        </row>
        <row r="4352">
          <cell r="L4352" t="str">
            <v>Dont Account For</v>
          </cell>
          <cell r="M4352">
            <v>-596.66666666666663</v>
          </cell>
        </row>
        <row r="4353">
          <cell r="L4353" t="str">
            <v>Dont Account For</v>
          </cell>
          <cell r="M4353">
            <v>-273.33333333333331</v>
          </cell>
        </row>
        <row r="4354">
          <cell r="L4354" t="str">
            <v>Dont Account For</v>
          </cell>
          <cell r="M4354">
            <v>-293.33333333333331</v>
          </cell>
        </row>
        <row r="4355">
          <cell r="L4355" t="str">
            <v>Dont Account For</v>
          </cell>
          <cell r="M4355">
            <v>-143.33333333333334</v>
          </cell>
        </row>
        <row r="4356">
          <cell r="L4356" t="str">
            <v>Dont Account For</v>
          </cell>
          <cell r="M4356">
            <v>-143.33333333333334</v>
          </cell>
        </row>
        <row r="4357">
          <cell r="L4357" t="str">
            <v>Dont Account For</v>
          </cell>
          <cell r="M4357">
            <v>-293.33333333333331</v>
          </cell>
        </row>
        <row r="4358">
          <cell r="L4358" t="str">
            <v>Dont Account For</v>
          </cell>
          <cell r="M4358">
            <v>1006.1999999999999</v>
          </cell>
        </row>
        <row r="4359">
          <cell r="L4359" t="str">
            <v>Dont Account For</v>
          </cell>
          <cell r="M4359">
            <v>-200</v>
          </cell>
        </row>
        <row r="4360">
          <cell r="L4360" t="str">
            <v>Regular Cost</v>
          </cell>
          <cell r="M4360">
            <v>-1932.0466666666669</v>
          </cell>
        </row>
        <row r="4361">
          <cell r="L4361" t="str">
            <v>Regular Cost</v>
          </cell>
          <cell r="M4361">
            <v>-948.53000000000009</v>
          </cell>
        </row>
        <row r="4362">
          <cell r="L4362" t="str">
            <v>Regular Cost</v>
          </cell>
          <cell r="M4362">
            <v>-238.19000000000003</v>
          </cell>
        </row>
        <row r="4363">
          <cell r="L4363" t="str">
            <v>Regular Cost</v>
          </cell>
          <cell r="M4363">
            <v>-1932.0466666666669</v>
          </cell>
        </row>
        <row r="4364">
          <cell r="L4364" t="str">
            <v>Regular Cost</v>
          </cell>
          <cell r="M4364">
            <v>-948.53000000000009</v>
          </cell>
        </row>
        <row r="4365">
          <cell r="L4365" t="str">
            <v>Regular Cost</v>
          </cell>
          <cell r="M4365">
            <v>-238.19000000000003</v>
          </cell>
        </row>
        <row r="4366">
          <cell r="L4366" t="str">
            <v>Dont Account For</v>
          </cell>
          <cell r="M4366">
            <v>666.66666666666663</v>
          </cell>
        </row>
        <row r="4367">
          <cell r="L4367" t="str">
            <v>Dont Account For</v>
          </cell>
          <cell r="M4367">
            <v>1600</v>
          </cell>
        </row>
        <row r="4368">
          <cell r="L4368" t="str">
            <v>Dont Account For</v>
          </cell>
          <cell r="M4368">
            <v>3566.6666666666665</v>
          </cell>
        </row>
        <row r="4369">
          <cell r="L4369" t="str">
            <v>Clothing</v>
          </cell>
          <cell r="M4369">
            <v>-114.03666666666668</v>
          </cell>
        </row>
        <row r="4370">
          <cell r="L4370" t="str">
            <v>Regular Cost</v>
          </cell>
          <cell r="M4370">
            <v>-113.70666666666666</v>
          </cell>
        </row>
        <row r="4371">
          <cell r="L4371" t="str">
            <v>Unknown</v>
          </cell>
          <cell r="M4371">
            <v>-36.5</v>
          </cell>
        </row>
        <row r="4372">
          <cell r="L4372" t="str">
            <v>Unknown</v>
          </cell>
          <cell r="M4372">
            <v>-117.74333333333334</v>
          </cell>
        </row>
        <row r="4373">
          <cell r="L4373" t="str">
            <v>Groceries</v>
          </cell>
          <cell r="M4373">
            <v>-60.99</v>
          </cell>
        </row>
        <row r="4374">
          <cell r="L4374" t="str">
            <v>Doctor</v>
          </cell>
          <cell r="M4374">
            <v>-128.16333333333333</v>
          </cell>
        </row>
        <row r="4375">
          <cell r="L4375" t="str">
            <v>Groceries</v>
          </cell>
          <cell r="M4375">
            <v>-104.43333333333334</v>
          </cell>
        </row>
        <row r="4376">
          <cell r="L4376" t="str">
            <v>Doctor</v>
          </cell>
          <cell r="M4376">
            <v>-52.1</v>
          </cell>
        </row>
        <row r="4377">
          <cell r="L4377" t="str">
            <v>Wool</v>
          </cell>
          <cell r="M4377">
            <v>-191.03666666666666</v>
          </cell>
        </row>
        <row r="4378">
          <cell r="L4378" t="str">
            <v>Unknown</v>
          </cell>
          <cell r="M4378">
            <v>-61.713333333333331</v>
          </cell>
        </row>
        <row r="4379">
          <cell r="L4379" t="str">
            <v>Groceries</v>
          </cell>
          <cell r="M4379">
            <v>-45.326666666666661</v>
          </cell>
        </row>
        <row r="4380">
          <cell r="L4380" t="str">
            <v>Car Maintenance</v>
          </cell>
          <cell r="M4380">
            <v>-1059.3966666666668</v>
          </cell>
        </row>
        <row r="4381">
          <cell r="L4381" t="str">
            <v>Regular Cost</v>
          </cell>
          <cell r="M4381">
            <v>-308.93</v>
          </cell>
        </row>
        <row r="4382">
          <cell r="L4382" t="str">
            <v>Books, Videos, Magazines</v>
          </cell>
          <cell r="M4382">
            <v>-92.75333333333333</v>
          </cell>
        </row>
        <row r="4383">
          <cell r="L4383" t="str">
            <v>Household Items</v>
          </cell>
          <cell r="M4383">
            <v>-47.073333333333331</v>
          </cell>
        </row>
        <row r="4384">
          <cell r="L4384" t="str">
            <v>Gifts</v>
          </cell>
          <cell r="M4384">
            <v>-34.496666666666663</v>
          </cell>
        </row>
        <row r="4385">
          <cell r="L4385" t="str">
            <v>Clothing</v>
          </cell>
          <cell r="M4385">
            <v>-34.613333333333337</v>
          </cell>
        </row>
        <row r="4386">
          <cell r="L4386" t="str">
            <v>Clothing</v>
          </cell>
          <cell r="M4386">
            <v>-20.016666666666666</v>
          </cell>
        </row>
        <row r="4387">
          <cell r="L4387" t="str">
            <v>Eating Out</v>
          </cell>
          <cell r="M4387">
            <v>-16.153333333333332</v>
          </cell>
        </row>
        <row r="4388">
          <cell r="L4388" t="str">
            <v>Eating Out</v>
          </cell>
          <cell r="M4388">
            <v>-52.493333333333332</v>
          </cell>
        </row>
        <row r="4389">
          <cell r="L4389" t="str">
            <v>Groceries</v>
          </cell>
          <cell r="M4389">
            <v>-135.96</v>
          </cell>
        </row>
        <row r="4390">
          <cell r="L4390" t="str">
            <v>Eating Out</v>
          </cell>
          <cell r="M4390">
            <v>-32.706666666666671</v>
          </cell>
        </row>
        <row r="4391">
          <cell r="L4391" t="str">
            <v>Uniforms</v>
          </cell>
          <cell r="M4391">
            <v>-51.816666666666663</v>
          </cell>
        </row>
        <row r="4392">
          <cell r="L4392" t="str">
            <v>Groceries</v>
          </cell>
          <cell r="M4392">
            <v>-100.52999999999999</v>
          </cell>
        </row>
        <row r="4393">
          <cell r="L4393" t="str">
            <v>Unknown</v>
          </cell>
          <cell r="M4393">
            <v>-57.376666666666665</v>
          </cell>
        </row>
        <row r="4394">
          <cell r="L4394" t="str">
            <v>Doctor</v>
          </cell>
          <cell r="M4394">
            <v>-65.716666666666669</v>
          </cell>
        </row>
        <row r="4395">
          <cell r="L4395" t="str">
            <v>Doctor</v>
          </cell>
          <cell r="M4395">
            <v>-65.716666666666669</v>
          </cell>
        </row>
        <row r="4396">
          <cell r="L4396" t="str">
            <v>Unknown</v>
          </cell>
          <cell r="M4396">
            <v>-32.51</v>
          </cell>
        </row>
        <row r="4397">
          <cell r="L4397" t="str">
            <v>Groceries</v>
          </cell>
          <cell r="M4397">
            <v>-21.73</v>
          </cell>
        </row>
        <row r="4398">
          <cell r="L4398" t="str">
            <v>Unknown</v>
          </cell>
          <cell r="M4398">
            <v>-171.41333333333333</v>
          </cell>
        </row>
        <row r="4399">
          <cell r="L4399" t="str">
            <v>Groceries</v>
          </cell>
          <cell r="M4399">
            <v>-94.666666666666671</v>
          </cell>
        </row>
        <row r="4400">
          <cell r="L4400" t="str">
            <v>Doctor</v>
          </cell>
          <cell r="M4400">
            <v>-65.13666666666667</v>
          </cell>
        </row>
        <row r="4401">
          <cell r="L4401" t="str">
            <v>Unknown</v>
          </cell>
          <cell r="M4401">
            <v>-19.37</v>
          </cell>
        </row>
        <row r="4402">
          <cell r="L4402" t="str">
            <v>Petrol</v>
          </cell>
          <cell r="M4402">
            <v>-86.86</v>
          </cell>
        </row>
        <row r="4403">
          <cell r="L4403" t="str">
            <v>Groceries</v>
          </cell>
          <cell r="M4403">
            <v>-27.37</v>
          </cell>
        </row>
        <row r="4404">
          <cell r="L4404" t="str">
            <v>Unknown</v>
          </cell>
          <cell r="M4404">
            <v>-70.850000000000009</v>
          </cell>
        </row>
        <row r="4405">
          <cell r="L4405" t="str">
            <v>Dont Account For</v>
          </cell>
          <cell r="M4405">
            <v>1666.6666666666667</v>
          </cell>
        </row>
        <row r="4406">
          <cell r="L4406" t="str">
            <v>Chemist</v>
          </cell>
          <cell r="M4406">
            <v>-25.78</v>
          </cell>
        </row>
        <row r="4407">
          <cell r="L4407" t="str">
            <v>Dont Account For</v>
          </cell>
          <cell r="M4407">
            <v>-22.7</v>
          </cell>
        </row>
        <row r="4408">
          <cell r="L4408" t="str">
            <v>Groceries</v>
          </cell>
          <cell r="M4408">
            <v>-35.06666666666667</v>
          </cell>
        </row>
        <row r="4409">
          <cell r="L4409" t="str">
            <v>Uniforms</v>
          </cell>
          <cell r="M4409">
            <v>-54.51</v>
          </cell>
        </row>
        <row r="4410">
          <cell r="L4410" t="str">
            <v>Dont Account For</v>
          </cell>
          <cell r="M4410">
            <v>2000</v>
          </cell>
        </row>
        <row r="4411">
          <cell r="L4411" t="str">
            <v>Autumn Gas</v>
          </cell>
          <cell r="M4411">
            <v>-210.94666666666669</v>
          </cell>
        </row>
        <row r="4412">
          <cell r="L4412" t="str">
            <v>Optus Home Phone</v>
          </cell>
          <cell r="M4412">
            <v>-83.53</v>
          </cell>
        </row>
        <row r="4413">
          <cell r="L4413" t="str">
            <v>Optus Mobile</v>
          </cell>
          <cell r="M4413">
            <v>-186.67999999999998</v>
          </cell>
        </row>
        <row r="4414">
          <cell r="L4414" t="str">
            <v>Unknown</v>
          </cell>
          <cell r="M4414">
            <v>-19.506666666666668</v>
          </cell>
        </row>
        <row r="4415">
          <cell r="L4415" t="str">
            <v>Groceries</v>
          </cell>
          <cell r="M4415">
            <v>-48.896666666666668</v>
          </cell>
        </row>
        <row r="4416">
          <cell r="L4416" t="str">
            <v>Unknown</v>
          </cell>
          <cell r="M4416">
            <v>-156.04666666666665</v>
          </cell>
        </row>
        <row r="4417">
          <cell r="L4417" t="str">
            <v>Regular Cost</v>
          </cell>
          <cell r="M4417">
            <v>-541.93999999999994</v>
          </cell>
        </row>
        <row r="4418">
          <cell r="L4418" t="str">
            <v>Gifts</v>
          </cell>
          <cell r="M4418">
            <v>-22.396666666666665</v>
          </cell>
        </row>
        <row r="4419">
          <cell r="L4419" t="str">
            <v>Petrol</v>
          </cell>
          <cell r="M4419">
            <v>-22.47666666666667</v>
          </cell>
        </row>
        <row r="4420">
          <cell r="L4420" t="str">
            <v>Groceries</v>
          </cell>
          <cell r="M4420">
            <v>-229.10333333333332</v>
          </cell>
        </row>
        <row r="4421">
          <cell r="L4421" t="str">
            <v>Eating Out</v>
          </cell>
          <cell r="M4421">
            <v>-19.943333333333332</v>
          </cell>
        </row>
        <row r="4422">
          <cell r="L4422" t="str">
            <v>Dont Account For</v>
          </cell>
          <cell r="M4422">
            <v>1663.5766666666666</v>
          </cell>
        </row>
        <row r="4423">
          <cell r="L4423" t="str">
            <v>School Books</v>
          </cell>
          <cell r="M4423">
            <v>12.706666666666665</v>
          </cell>
        </row>
        <row r="4424">
          <cell r="L4424" t="str">
            <v>Wool</v>
          </cell>
          <cell r="M4424">
            <v>-99.563333333333333</v>
          </cell>
        </row>
        <row r="4425">
          <cell r="L4425" t="str">
            <v>Gifts</v>
          </cell>
          <cell r="M4425">
            <v>-58.946666666666665</v>
          </cell>
        </row>
        <row r="4426">
          <cell r="L4426" t="str">
            <v>Chemist</v>
          </cell>
          <cell r="M4426">
            <v>-39.089999999999996</v>
          </cell>
        </row>
        <row r="4427">
          <cell r="L4427" t="str">
            <v>Wool</v>
          </cell>
          <cell r="M4427">
            <v>-58.096666666666664</v>
          </cell>
        </row>
        <row r="4428">
          <cell r="L4428" t="str">
            <v>School Books</v>
          </cell>
          <cell r="M4428">
            <v>-40.83</v>
          </cell>
        </row>
        <row r="4429">
          <cell r="L4429" t="str">
            <v>Unknown</v>
          </cell>
          <cell r="M4429">
            <v>-27.443333333333332</v>
          </cell>
        </row>
        <row r="4430">
          <cell r="L4430" t="str">
            <v>Regular Cost</v>
          </cell>
          <cell r="M4430">
            <v>-211.71333333333334</v>
          </cell>
        </row>
        <row r="4431">
          <cell r="L4431" t="str">
            <v>Gifts</v>
          </cell>
          <cell r="M4431">
            <v>-34.39</v>
          </cell>
        </row>
        <row r="4432">
          <cell r="L4432" t="str">
            <v>Eating Out</v>
          </cell>
          <cell r="M4432">
            <v>-118.17666666666666</v>
          </cell>
        </row>
        <row r="4433">
          <cell r="L4433" t="str">
            <v>Groceries</v>
          </cell>
          <cell r="M4433">
            <v>-218.26666666666665</v>
          </cell>
        </row>
        <row r="4434">
          <cell r="L4434" t="str">
            <v>Unknown</v>
          </cell>
          <cell r="M4434">
            <v>-31.61</v>
          </cell>
        </row>
        <row r="4435">
          <cell r="L4435" t="str">
            <v>Unknown</v>
          </cell>
          <cell r="M4435">
            <v>-112.45333333333333</v>
          </cell>
        </row>
        <row r="4436">
          <cell r="L4436" t="str">
            <v>Regular Cost</v>
          </cell>
          <cell r="M4436">
            <v>-31.33</v>
          </cell>
        </row>
        <row r="4437">
          <cell r="L4437" t="str">
            <v>Regular Cost</v>
          </cell>
          <cell r="M4437">
            <v>-8143.06</v>
          </cell>
        </row>
        <row r="4438">
          <cell r="L4438" t="str">
            <v>Regular Cost</v>
          </cell>
          <cell r="M4438">
            <v>-2401.186666666667</v>
          </cell>
        </row>
        <row r="4439">
          <cell r="L4439" t="str">
            <v>Doctor</v>
          </cell>
          <cell r="M4439">
            <v>-64.093333333333334</v>
          </cell>
        </row>
        <row r="4440">
          <cell r="L4440" t="str">
            <v>Groceries</v>
          </cell>
          <cell r="M4440">
            <v>-157.44</v>
          </cell>
        </row>
        <row r="4441">
          <cell r="L4441" t="str">
            <v>Groceries</v>
          </cell>
          <cell r="M4441">
            <v>-78.760000000000005</v>
          </cell>
        </row>
        <row r="4442">
          <cell r="L4442" t="str">
            <v>Cinema</v>
          </cell>
          <cell r="M4442">
            <v>-40.626666666666665</v>
          </cell>
        </row>
      </sheetData>
      <sheetData sheetId="3" refreshError="1"/>
      <sheetData sheetId="4" refreshError="1"/>
      <sheetData sheetId="5">
        <row r="4">
          <cell r="B4">
            <v>14000</v>
          </cell>
        </row>
        <row r="14">
          <cell r="B14">
            <v>3989.0410958904108</v>
          </cell>
        </row>
      </sheetData>
      <sheetData sheetId="6">
        <row r="2">
          <cell r="D2">
            <v>480.76923076923077</v>
          </cell>
        </row>
        <row r="3">
          <cell r="D3">
            <v>76.92307692307692</v>
          </cell>
        </row>
        <row r="6">
          <cell r="D6">
            <v>38.46153846153846</v>
          </cell>
        </row>
        <row r="10">
          <cell r="B10">
            <v>0.12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mary"/>
      <sheetName val="DutyLog"/>
      <sheetName val="ATO_Low"/>
      <sheetName val="ATO_Mid"/>
      <sheetName val="ATO_Upper"/>
      <sheetName val="MealTimes"/>
      <sheetName val="CurrencySum"/>
      <sheetName val="RBAExch"/>
    </sheetNames>
    <sheetDataSet>
      <sheetData sheetId="0"/>
      <sheetData sheetId="1">
        <row r="369">
          <cell r="X369">
            <v>19694.100000000002</v>
          </cell>
        </row>
      </sheetData>
      <sheetData sheetId="2">
        <row r="3">
          <cell r="A3" t="str">
            <v>BNE</v>
          </cell>
          <cell r="B3" t="str">
            <v>Oz</v>
          </cell>
          <cell r="C3">
            <v>23.1</v>
          </cell>
          <cell r="D3">
            <v>25.9</v>
          </cell>
          <cell r="E3">
            <v>44.5</v>
          </cell>
          <cell r="G3">
            <v>16.850000000000001</v>
          </cell>
          <cell r="H3">
            <v>201</v>
          </cell>
        </row>
        <row r="4">
          <cell r="A4" t="str">
            <v>MEL</v>
          </cell>
          <cell r="B4" t="str">
            <v>Oz</v>
          </cell>
          <cell r="C4">
            <v>23.1</v>
          </cell>
          <cell r="D4">
            <v>25.9</v>
          </cell>
          <cell r="E4">
            <v>44.5</v>
          </cell>
          <cell r="G4">
            <v>16.850000000000001</v>
          </cell>
          <cell r="H4">
            <v>173</v>
          </cell>
        </row>
        <row r="5">
          <cell r="A5" t="str">
            <v>SYD</v>
          </cell>
          <cell r="B5" t="str">
            <v>Oz</v>
          </cell>
          <cell r="C5">
            <v>23.1</v>
          </cell>
          <cell r="D5">
            <v>25.9</v>
          </cell>
          <cell r="E5">
            <v>44.5</v>
          </cell>
          <cell r="G5">
            <v>16.850000000000001</v>
          </cell>
          <cell r="H5">
            <v>183</v>
          </cell>
        </row>
        <row r="10">
          <cell r="A10" t="str">
            <v>AUH</v>
          </cell>
          <cell r="B10" t="str">
            <v>OS5</v>
          </cell>
          <cell r="F10">
            <v>185</v>
          </cell>
          <cell r="G10">
            <v>40</v>
          </cell>
        </row>
        <row r="11">
          <cell r="A11" t="str">
            <v>HKT</v>
          </cell>
          <cell r="B11" t="str">
            <v>OS3</v>
          </cell>
          <cell r="F11">
            <v>120</v>
          </cell>
          <cell r="G11">
            <v>35</v>
          </cell>
        </row>
        <row r="12">
          <cell r="A12" t="str">
            <v>JNB</v>
          </cell>
          <cell r="B12" t="str">
            <v>OS2</v>
          </cell>
          <cell r="F12">
            <v>85</v>
          </cell>
          <cell r="G12">
            <v>30</v>
          </cell>
        </row>
        <row r="13">
          <cell r="A13" t="str">
            <v>LAX</v>
          </cell>
          <cell r="B13" t="str">
            <v>OS4</v>
          </cell>
          <cell r="F13">
            <v>155</v>
          </cell>
          <cell r="G13">
            <v>35</v>
          </cell>
        </row>
        <row r="14">
          <cell r="A14" t="str">
            <v>SIN</v>
          </cell>
          <cell r="B14" t="str">
            <v>OS4</v>
          </cell>
          <cell r="F14">
            <v>155</v>
          </cell>
          <cell r="G14">
            <v>35</v>
          </cell>
        </row>
        <row r="15">
          <cell r="A15" t="str">
            <v>SEA</v>
          </cell>
          <cell r="B15" t="str">
            <v>OS4</v>
          </cell>
          <cell r="F15">
            <v>155</v>
          </cell>
          <cell r="G15">
            <v>35</v>
          </cell>
        </row>
        <row r="16">
          <cell r="F16">
            <v>0</v>
          </cell>
        </row>
        <row r="17">
          <cell r="F17">
            <v>0</v>
          </cell>
        </row>
      </sheetData>
      <sheetData sheetId="3">
        <row r="3">
          <cell r="A3" t="str">
            <v>BNE</v>
          </cell>
          <cell r="B3" t="str">
            <v>Oz</v>
          </cell>
          <cell r="C3">
            <v>25.7</v>
          </cell>
          <cell r="D3">
            <v>36.4</v>
          </cell>
          <cell r="E3">
            <v>51</v>
          </cell>
          <cell r="G3">
            <v>24.7</v>
          </cell>
          <cell r="H3">
            <v>233</v>
          </cell>
        </row>
        <row r="4">
          <cell r="A4" t="str">
            <v>MEL</v>
          </cell>
          <cell r="B4" t="str">
            <v>Oz</v>
          </cell>
          <cell r="C4">
            <v>25.7</v>
          </cell>
          <cell r="D4">
            <v>36.4</v>
          </cell>
          <cell r="E4">
            <v>51</v>
          </cell>
          <cell r="G4">
            <v>24.7</v>
          </cell>
          <cell r="H4">
            <v>216</v>
          </cell>
        </row>
        <row r="5">
          <cell r="A5" t="str">
            <v>SYD</v>
          </cell>
          <cell r="B5" t="str">
            <v>Oz</v>
          </cell>
          <cell r="C5">
            <v>25.7</v>
          </cell>
          <cell r="D5">
            <v>36.4</v>
          </cell>
          <cell r="E5">
            <v>51</v>
          </cell>
          <cell r="G5">
            <v>24.7</v>
          </cell>
          <cell r="H5">
            <v>225</v>
          </cell>
        </row>
        <row r="10">
          <cell r="A10" t="str">
            <v>AUH</v>
          </cell>
          <cell r="B10" t="str">
            <v>OS5</v>
          </cell>
          <cell r="F10">
            <v>170</v>
          </cell>
          <cell r="G10">
            <v>45</v>
          </cell>
        </row>
        <row r="11">
          <cell r="A11" t="str">
            <v>HKT</v>
          </cell>
          <cell r="B11" t="str">
            <v>OS3</v>
          </cell>
          <cell r="F11">
            <v>150</v>
          </cell>
          <cell r="G11">
            <v>40</v>
          </cell>
        </row>
        <row r="12">
          <cell r="A12" t="str">
            <v>JNB</v>
          </cell>
          <cell r="B12" t="str">
            <v>OS2</v>
          </cell>
          <cell r="F12">
            <v>120</v>
          </cell>
          <cell r="G12">
            <v>35</v>
          </cell>
        </row>
        <row r="13">
          <cell r="A13" t="str">
            <v>LAX</v>
          </cell>
          <cell r="B13" t="str">
            <v>OS4</v>
          </cell>
          <cell r="F13">
            <v>170</v>
          </cell>
          <cell r="G13">
            <v>45</v>
          </cell>
        </row>
        <row r="14">
          <cell r="A14" t="str">
            <v>SIN</v>
          </cell>
          <cell r="B14" t="str">
            <v>OS4</v>
          </cell>
          <cell r="F14">
            <v>185</v>
          </cell>
          <cell r="G14">
            <v>45</v>
          </cell>
        </row>
        <row r="15">
          <cell r="F15">
            <v>0</v>
          </cell>
        </row>
        <row r="16">
          <cell r="F16">
            <v>0</v>
          </cell>
        </row>
        <row r="17">
          <cell r="F17">
            <v>0</v>
          </cell>
        </row>
      </sheetData>
      <sheetData sheetId="4">
        <row r="3">
          <cell r="A3" t="str">
            <v>BNE</v>
          </cell>
          <cell r="B3" t="str">
            <v>Oz</v>
          </cell>
          <cell r="C3">
            <v>27</v>
          </cell>
          <cell r="D3">
            <v>38</v>
          </cell>
          <cell r="E3">
            <v>65</v>
          </cell>
          <cell r="G3">
            <v>24.05</v>
          </cell>
          <cell r="H3">
            <v>236</v>
          </cell>
        </row>
        <row r="4">
          <cell r="A4" t="str">
            <v>MEL</v>
          </cell>
          <cell r="B4" t="str">
            <v>Oz</v>
          </cell>
          <cell r="C4">
            <v>27</v>
          </cell>
          <cell r="D4">
            <v>38</v>
          </cell>
          <cell r="E4">
            <v>65</v>
          </cell>
          <cell r="G4">
            <v>24.05</v>
          </cell>
          <cell r="H4">
            <v>265</v>
          </cell>
        </row>
        <row r="5">
          <cell r="A5" t="str">
            <v>SYD</v>
          </cell>
          <cell r="B5" t="str">
            <v>Oz</v>
          </cell>
          <cell r="C5">
            <v>27</v>
          </cell>
          <cell r="D5">
            <v>38</v>
          </cell>
          <cell r="E5">
            <v>65</v>
          </cell>
          <cell r="G5">
            <v>24.05</v>
          </cell>
          <cell r="H5">
            <v>265</v>
          </cell>
        </row>
        <row r="10">
          <cell r="A10" t="str">
            <v>AUH</v>
          </cell>
          <cell r="B10" t="str">
            <v>OS5</v>
          </cell>
          <cell r="F10">
            <v>265</v>
          </cell>
          <cell r="G10">
            <v>60</v>
          </cell>
        </row>
        <row r="11">
          <cell r="A11" t="str">
            <v>HKT</v>
          </cell>
          <cell r="B11" t="str">
            <v>OS3</v>
          </cell>
          <cell r="F11">
            <v>180</v>
          </cell>
          <cell r="G11">
            <v>45</v>
          </cell>
        </row>
        <row r="12">
          <cell r="A12" t="str">
            <v>JNB</v>
          </cell>
          <cell r="B12" t="str">
            <v>OS2</v>
          </cell>
          <cell r="F12">
            <v>150</v>
          </cell>
          <cell r="G12">
            <v>40</v>
          </cell>
        </row>
        <row r="13">
          <cell r="A13" t="str">
            <v>LAX</v>
          </cell>
          <cell r="B13" t="str">
            <v>OS4</v>
          </cell>
          <cell r="F13">
            <v>215</v>
          </cell>
          <cell r="G13">
            <v>50</v>
          </cell>
        </row>
        <row r="14">
          <cell r="A14" t="str">
            <v>SIN</v>
          </cell>
          <cell r="B14" t="str">
            <v>OS4</v>
          </cell>
          <cell r="F14">
            <v>215</v>
          </cell>
          <cell r="G14">
            <v>50</v>
          </cell>
        </row>
        <row r="15">
          <cell r="F15">
            <v>0</v>
          </cell>
        </row>
        <row r="16">
          <cell r="F16">
            <v>0</v>
          </cell>
        </row>
        <row r="17">
          <cell r="F17">
            <v>0</v>
          </cell>
        </row>
      </sheetData>
      <sheetData sheetId="5"/>
      <sheetData sheetId="6">
        <row r="2">
          <cell r="B2" t="str">
            <v>AUH</v>
          </cell>
          <cell r="C2" t="str">
            <v>BNE</v>
          </cell>
          <cell r="D2" t="str">
            <v>HKT</v>
          </cell>
          <cell r="E2" t="str">
            <v>JNB</v>
          </cell>
          <cell r="F2" t="str">
            <v>LAX</v>
          </cell>
          <cell r="G2" t="str">
            <v>MEL</v>
          </cell>
          <cell r="H2" t="str">
            <v>SEA</v>
          </cell>
          <cell r="I2" t="str">
            <v>SIN</v>
          </cell>
          <cell r="J2" t="str">
            <v>SYD</v>
          </cell>
        </row>
        <row r="3">
          <cell r="B3" t="str">
            <v>AED</v>
          </cell>
          <cell r="C3" t="str">
            <v>AUD</v>
          </cell>
          <cell r="D3" t="str">
            <v>RTB</v>
          </cell>
          <cell r="E3" t="str">
            <v>ARD</v>
          </cell>
          <cell r="F3" t="str">
            <v>USD</v>
          </cell>
          <cell r="G3" t="str">
            <v>AUD</v>
          </cell>
          <cell r="H3" t="str">
            <v>USD</v>
          </cell>
          <cell r="I3" t="str">
            <v>RSD</v>
          </cell>
          <cell r="J3" t="str">
            <v>AUD</v>
          </cell>
        </row>
        <row r="4">
          <cell r="B4">
            <v>2</v>
          </cell>
          <cell r="C4">
            <v>3</v>
          </cell>
          <cell r="D4">
            <v>4</v>
          </cell>
          <cell r="F4">
            <v>6</v>
          </cell>
          <cell r="G4">
            <v>7</v>
          </cell>
          <cell r="H4">
            <v>8</v>
          </cell>
          <cell r="I4">
            <v>9</v>
          </cell>
          <cell r="J4">
            <v>10</v>
          </cell>
          <cell r="K4">
            <v>11</v>
          </cell>
          <cell r="L4">
            <v>12</v>
          </cell>
          <cell r="M4">
            <v>13</v>
          </cell>
        </row>
        <row r="5">
          <cell r="A5">
            <v>40360</v>
          </cell>
          <cell r="B5">
            <v>3.0724</v>
          </cell>
          <cell r="C5">
            <v>1</v>
          </cell>
          <cell r="D5">
            <v>27.13</v>
          </cell>
          <cell r="E5">
            <v>6.4283000000000001</v>
          </cell>
          <cell r="F5">
            <v>0.83660000000000001</v>
          </cell>
          <cell r="G5">
            <v>1</v>
          </cell>
          <cell r="H5">
            <v>0.83660000000000001</v>
          </cell>
          <cell r="I5">
            <v>1.1703999999999999</v>
          </cell>
          <cell r="J5">
            <v>1</v>
          </cell>
          <cell r="K5">
            <v>0</v>
          </cell>
          <cell r="L5">
            <v>0</v>
          </cell>
          <cell r="M5">
            <v>0</v>
          </cell>
        </row>
        <row r="6">
          <cell r="A6">
            <v>40361</v>
          </cell>
          <cell r="B6">
            <v>3.1025</v>
          </cell>
          <cell r="C6">
            <v>1</v>
          </cell>
          <cell r="D6">
            <v>27.39</v>
          </cell>
          <cell r="E6">
            <v>6.5388000000000002</v>
          </cell>
          <cell r="F6">
            <v>0.8448</v>
          </cell>
          <cell r="G6">
            <v>1</v>
          </cell>
          <cell r="H6">
            <v>0.8448</v>
          </cell>
          <cell r="I6">
            <v>1.1776</v>
          </cell>
          <cell r="J6">
            <v>1</v>
          </cell>
          <cell r="K6">
            <v>0</v>
          </cell>
          <cell r="L6">
            <v>0</v>
          </cell>
          <cell r="M6">
            <v>0</v>
          </cell>
        </row>
        <row r="7">
          <cell r="A7">
            <v>40362</v>
          </cell>
          <cell r="B7">
            <v>3.1025</v>
          </cell>
          <cell r="C7">
            <v>1</v>
          </cell>
          <cell r="D7">
            <v>27.39</v>
          </cell>
          <cell r="E7">
            <v>6.5388000000000002</v>
          </cell>
          <cell r="F7">
            <v>0.8448</v>
          </cell>
          <cell r="G7">
            <v>1</v>
          </cell>
          <cell r="H7">
            <v>0.8448</v>
          </cell>
          <cell r="I7">
            <v>1.1776</v>
          </cell>
          <cell r="J7">
            <v>1</v>
          </cell>
          <cell r="K7">
            <v>0</v>
          </cell>
          <cell r="L7">
            <v>0</v>
          </cell>
          <cell r="M7">
            <v>0</v>
          </cell>
        </row>
        <row r="8">
          <cell r="A8">
            <v>40363</v>
          </cell>
          <cell r="B8">
            <v>3.1025</v>
          </cell>
          <cell r="C8">
            <v>1</v>
          </cell>
          <cell r="D8">
            <v>27.39</v>
          </cell>
          <cell r="E8">
            <v>6.5388000000000002</v>
          </cell>
          <cell r="F8">
            <v>0.8448</v>
          </cell>
          <cell r="G8">
            <v>1</v>
          </cell>
          <cell r="H8">
            <v>0.8448</v>
          </cell>
          <cell r="I8">
            <v>1.1776</v>
          </cell>
          <cell r="J8">
            <v>1</v>
          </cell>
          <cell r="K8">
            <v>0</v>
          </cell>
          <cell r="L8">
            <v>0</v>
          </cell>
          <cell r="M8">
            <v>0</v>
          </cell>
        </row>
        <row r="9">
          <cell r="A9">
            <v>40364</v>
          </cell>
          <cell r="B9">
            <v>3.1017999999999999</v>
          </cell>
          <cell r="C9">
            <v>1</v>
          </cell>
          <cell r="D9">
            <v>27.38</v>
          </cell>
          <cell r="E9">
            <v>6.5037000000000003</v>
          </cell>
          <cell r="F9">
            <v>0.84460000000000002</v>
          </cell>
          <cell r="G9">
            <v>1</v>
          </cell>
          <cell r="H9">
            <v>0.84460000000000002</v>
          </cell>
          <cell r="I9">
            <v>1.1754</v>
          </cell>
          <cell r="J9">
            <v>1</v>
          </cell>
          <cell r="K9">
            <v>0</v>
          </cell>
          <cell r="L9">
            <v>0</v>
          </cell>
          <cell r="M9">
            <v>0</v>
          </cell>
        </row>
        <row r="10">
          <cell r="A10">
            <v>40365</v>
          </cell>
          <cell r="B10">
            <v>3.0918999999999999</v>
          </cell>
          <cell r="C10">
            <v>1</v>
          </cell>
          <cell r="D10">
            <v>27.31</v>
          </cell>
          <cell r="E10">
            <v>6.5048000000000004</v>
          </cell>
          <cell r="F10">
            <v>0.84189999999999998</v>
          </cell>
          <cell r="G10">
            <v>1</v>
          </cell>
          <cell r="H10">
            <v>0.84189999999999998</v>
          </cell>
          <cell r="I10">
            <v>1.1724000000000001</v>
          </cell>
          <cell r="J10">
            <v>1</v>
          </cell>
          <cell r="K10">
            <v>0</v>
          </cell>
          <cell r="L10">
            <v>0</v>
          </cell>
          <cell r="M10">
            <v>0</v>
          </cell>
        </row>
        <row r="11">
          <cell r="A11">
            <v>40366</v>
          </cell>
          <cell r="B11">
            <v>3.1143000000000001</v>
          </cell>
          <cell r="C11">
            <v>1</v>
          </cell>
          <cell r="D11">
            <v>27.54</v>
          </cell>
          <cell r="E11">
            <v>6.5072000000000001</v>
          </cell>
          <cell r="F11">
            <v>0.84799999999999998</v>
          </cell>
          <cell r="G11">
            <v>1</v>
          </cell>
          <cell r="H11">
            <v>0.84799999999999998</v>
          </cell>
          <cell r="I11">
            <v>1.1791</v>
          </cell>
          <cell r="J11">
            <v>1</v>
          </cell>
          <cell r="K11">
            <v>0</v>
          </cell>
          <cell r="L11">
            <v>0</v>
          </cell>
          <cell r="M11">
            <v>0</v>
          </cell>
        </row>
        <row r="12">
          <cell r="A12">
            <v>40367</v>
          </cell>
          <cell r="B12">
            <v>3.2042999999999999</v>
          </cell>
          <cell r="C12">
            <v>1</v>
          </cell>
          <cell r="D12">
            <v>28.3</v>
          </cell>
          <cell r="E12">
            <v>6.6349</v>
          </cell>
          <cell r="F12">
            <v>0.87250000000000005</v>
          </cell>
          <cell r="G12">
            <v>1</v>
          </cell>
          <cell r="H12">
            <v>0.87250000000000005</v>
          </cell>
          <cell r="I12">
            <v>1.2070000000000001</v>
          </cell>
          <cell r="J12">
            <v>1</v>
          </cell>
          <cell r="K12">
            <v>0</v>
          </cell>
          <cell r="L12">
            <v>0</v>
          </cell>
          <cell r="M12">
            <v>0</v>
          </cell>
        </row>
        <row r="13">
          <cell r="A13">
            <v>40368</v>
          </cell>
          <cell r="B13">
            <v>3.2208000000000001</v>
          </cell>
          <cell r="C13">
            <v>1</v>
          </cell>
          <cell r="D13">
            <v>28.41</v>
          </cell>
          <cell r="E13">
            <v>6.6373999999999995</v>
          </cell>
          <cell r="F13">
            <v>0.877</v>
          </cell>
          <cell r="G13">
            <v>1</v>
          </cell>
          <cell r="H13">
            <v>0.877</v>
          </cell>
          <cell r="I13">
            <v>1.2088000000000001</v>
          </cell>
          <cell r="J13">
            <v>1</v>
          </cell>
          <cell r="K13">
            <v>0</v>
          </cell>
          <cell r="L13">
            <v>0</v>
          </cell>
          <cell r="M13">
            <v>0</v>
          </cell>
        </row>
        <row r="14">
          <cell r="A14">
            <v>40369</v>
          </cell>
          <cell r="B14">
            <v>3.2208000000000001</v>
          </cell>
          <cell r="C14">
            <v>1</v>
          </cell>
          <cell r="D14">
            <v>28.41</v>
          </cell>
          <cell r="E14">
            <v>6.6373999999999995</v>
          </cell>
          <cell r="F14">
            <v>0.877</v>
          </cell>
          <cell r="G14">
            <v>1</v>
          </cell>
          <cell r="H14">
            <v>0.877</v>
          </cell>
          <cell r="I14">
            <v>1.2088000000000001</v>
          </cell>
          <cell r="J14">
            <v>1</v>
          </cell>
          <cell r="K14">
            <v>0</v>
          </cell>
          <cell r="L14">
            <v>0</v>
          </cell>
          <cell r="M14">
            <v>0</v>
          </cell>
        </row>
        <row r="15">
          <cell r="A15">
            <v>40370</v>
          </cell>
          <cell r="B15">
            <v>3.2208000000000001</v>
          </cell>
          <cell r="C15">
            <v>1</v>
          </cell>
          <cell r="D15">
            <v>28.41</v>
          </cell>
          <cell r="E15">
            <v>6.6373999999999995</v>
          </cell>
          <cell r="F15">
            <v>0.877</v>
          </cell>
          <cell r="G15">
            <v>1</v>
          </cell>
          <cell r="H15">
            <v>0.877</v>
          </cell>
          <cell r="I15">
            <v>1.2088000000000001</v>
          </cell>
          <cell r="J15">
            <v>1</v>
          </cell>
          <cell r="K15">
            <v>0</v>
          </cell>
          <cell r="L15">
            <v>0</v>
          </cell>
          <cell r="M15">
            <v>0</v>
          </cell>
        </row>
        <row r="16">
          <cell r="A16">
            <v>40371</v>
          </cell>
          <cell r="B16">
            <v>3.2067999999999999</v>
          </cell>
          <cell r="C16">
            <v>1</v>
          </cell>
          <cell r="D16">
            <v>28.24</v>
          </cell>
          <cell r="E16">
            <v>6.6036000000000001</v>
          </cell>
          <cell r="F16">
            <v>0.87319999999999998</v>
          </cell>
          <cell r="G16">
            <v>1</v>
          </cell>
          <cell r="H16">
            <v>0.87319999999999998</v>
          </cell>
          <cell r="I16">
            <v>1.2061999999999999</v>
          </cell>
          <cell r="J16">
            <v>1</v>
          </cell>
          <cell r="K16">
            <v>0</v>
          </cell>
          <cell r="L16">
            <v>0</v>
          </cell>
          <cell r="M16">
            <v>0</v>
          </cell>
        </row>
        <row r="17">
          <cell r="A17">
            <v>40372</v>
          </cell>
          <cell r="B17">
            <v>3.2027999999999999</v>
          </cell>
          <cell r="C17">
            <v>1</v>
          </cell>
          <cell r="D17">
            <v>28.22</v>
          </cell>
          <cell r="E17">
            <v>6.6433999999999997</v>
          </cell>
          <cell r="F17">
            <v>0.87209999999999999</v>
          </cell>
          <cell r="G17">
            <v>1</v>
          </cell>
          <cell r="H17">
            <v>0.87209999999999999</v>
          </cell>
          <cell r="I17">
            <v>1.2065999999999999</v>
          </cell>
          <cell r="J17">
            <v>1</v>
          </cell>
          <cell r="K17">
            <v>0</v>
          </cell>
          <cell r="L17">
            <v>0</v>
          </cell>
          <cell r="M17">
            <v>0</v>
          </cell>
        </row>
        <row r="18">
          <cell r="A18">
            <v>40373</v>
          </cell>
          <cell r="B18">
            <v>3.2372999999999998</v>
          </cell>
          <cell r="C18">
            <v>1</v>
          </cell>
          <cell r="D18">
            <v>28.5</v>
          </cell>
          <cell r="E18">
            <v>6.6471</v>
          </cell>
          <cell r="F18">
            <v>0.88149999999999995</v>
          </cell>
          <cell r="G18">
            <v>1</v>
          </cell>
          <cell r="H18">
            <v>0.88149999999999995</v>
          </cell>
          <cell r="I18">
            <v>1.2137</v>
          </cell>
          <cell r="J18">
            <v>1</v>
          </cell>
          <cell r="K18">
            <v>0</v>
          </cell>
          <cell r="L18">
            <v>0</v>
          </cell>
          <cell r="M18">
            <v>0</v>
          </cell>
        </row>
        <row r="19">
          <cell r="A19">
            <v>40374</v>
          </cell>
          <cell r="B19">
            <v>3.2328999999999999</v>
          </cell>
          <cell r="C19">
            <v>1</v>
          </cell>
          <cell r="D19">
            <v>28.42</v>
          </cell>
          <cell r="E19">
            <v>6.6448999999999998</v>
          </cell>
          <cell r="F19">
            <v>0.88029999999999997</v>
          </cell>
          <cell r="G19">
            <v>1</v>
          </cell>
          <cell r="H19">
            <v>0.88029999999999997</v>
          </cell>
          <cell r="I19">
            <v>1.2104999999999999</v>
          </cell>
          <cell r="J19">
            <v>1</v>
          </cell>
          <cell r="K19">
            <v>0</v>
          </cell>
          <cell r="L19">
            <v>0</v>
          </cell>
          <cell r="M19">
            <v>0</v>
          </cell>
        </row>
        <row r="20">
          <cell r="A20">
            <v>40375</v>
          </cell>
          <cell r="B20">
            <v>3.2160000000000002</v>
          </cell>
          <cell r="C20">
            <v>1</v>
          </cell>
          <cell r="D20">
            <v>28.24</v>
          </cell>
          <cell r="E20">
            <v>6.6246999999999998</v>
          </cell>
          <cell r="F20">
            <v>0.87570000000000003</v>
          </cell>
          <cell r="G20">
            <v>1</v>
          </cell>
          <cell r="H20">
            <v>0.87570000000000003</v>
          </cell>
          <cell r="I20">
            <v>1.2051000000000001</v>
          </cell>
          <cell r="J20">
            <v>1</v>
          </cell>
          <cell r="K20">
            <v>0</v>
          </cell>
          <cell r="L20">
            <v>0</v>
          </cell>
          <cell r="M20">
            <v>0</v>
          </cell>
        </row>
        <row r="21">
          <cell r="A21">
            <v>40376</v>
          </cell>
          <cell r="B21">
            <v>3.2160000000000002</v>
          </cell>
          <cell r="C21">
            <v>1</v>
          </cell>
          <cell r="D21">
            <v>28.24</v>
          </cell>
          <cell r="E21">
            <v>6.6246999999999998</v>
          </cell>
          <cell r="F21">
            <v>0.87570000000000003</v>
          </cell>
          <cell r="G21">
            <v>1</v>
          </cell>
          <cell r="H21">
            <v>0.87570000000000003</v>
          </cell>
          <cell r="I21">
            <v>1.2051000000000001</v>
          </cell>
          <cell r="J21">
            <v>1</v>
          </cell>
          <cell r="K21">
            <v>0</v>
          </cell>
          <cell r="L21">
            <v>0</v>
          </cell>
          <cell r="M21">
            <v>0</v>
          </cell>
        </row>
        <row r="22">
          <cell r="A22">
            <v>40377</v>
          </cell>
          <cell r="B22">
            <v>3.2160000000000002</v>
          </cell>
          <cell r="C22">
            <v>1</v>
          </cell>
          <cell r="D22">
            <v>28.24</v>
          </cell>
          <cell r="E22">
            <v>6.6246999999999998</v>
          </cell>
          <cell r="F22">
            <v>0.87570000000000003</v>
          </cell>
          <cell r="G22">
            <v>1</v>
          </cell>
          <cell r="H22">
            <v>0.87570000000000003</v>
          </cell>
          <cell r="I22">
            <v>1.2051000000000001</v>
          </cell>
          <cell r="J22">
            <v>1</v>
          </cell>
          <cell r="K22">
            <v>0</v>
          </cell>
          <cell r="L22">
            <v>0</v>
          </cell>
          <cell r="M22">
            <v>0</v>
          </cell>
        </row>
        <row r="23">
          <cell r="A23">
            <v>40378</v>
          </cell>
          <cell r="B23">
            <v>3.1903000000000001</v>
          </cell>
          <cell r="C23">
            <v>1</v>
          </cell>
          <cell r="D23">
            <v>28.06</v>
          </cell>
          <cell r="E23">
            <v>6.6078000000000001</v>
          </cell>
          <cell r="F23">
            <v>0.86870000000000003</v>
          </cell>
          <cell r="G23">
            <v>1</v>
          </cell>
          <cell r="H23">
            <v>0.86870000000000003</v>
          </cell>
          <cell r="I23">
            <v>1.1992</v>
          </cell>
          <cell r="J23">
            <v>1</v>
          </cell>
          <cell r="K23">
            <v>0</v>
          </cell>
          <cell r="L23">
            <v>0</v>
          </cell>
          <cell r="M23">
            <v>0</v>
          </cell>
        </row>
        <row r="24">
          <cell r="A24">
            <v>40379</v>
          </cell>
          <cell r="B24">
            <v>3.2244999999999999</v>
          </cell>
          <cell r="C24">
            <v>1</v>
          </cell>
          <cell r="D24">
            <v>28.37</v>
          </cell>
          <cell r="E24">
            <v>6.6951999999999998</v>
          </cell>
          <cell r="F24">
            <v>0.878</v>
          </cell>
          <cell r="G24">
            <v>1</v>
          </cell>
          <cell r="H24">
            <v>0.878</v>
          </cell>
          <cell r="I24">
            <v>1.2057</v>
          </cell>
          <cell r="J24">
            <v>1</v>
          </cell>
          <cell r="K24">
            <v>0</v>
          </cell>
          <cell r="L24">
            <v>0</v>
          </cell>
          <cell r="M24">
            <v>0</v>
          </cell>
        </row>
        <row r="25">
          <cell r="A25">
            <v>40380</v>
          </cell>
          <cell r="B25">
            <v>3.2399</v>
          </cell>
          <cell r="C25">
            <v>1</v>
          </cell>
          <cell r="D25">
            <v>28.48</v>
          </cell>
          <cell r="E25">
            <v>6.6760000000000002</v>
          </cell>
          <cell r="F25">
            <v>0.88219999999999998</v>
          </cell>
          <cell r="G25">
            <v>1</v>
          </cell>
          <cell r="H25">
            <v>0.88219999999999998</v>
          </cell>
          <cell r="I25">
            <v>1.2104999999999999</v>
          </cell>
          <cell r="J25">
            <v>1</v>
          </cell>
          <cell r="K25">
            <v>0</v>
          </cell>
          <cell r="L25">
            <v>0</v>
          </cell>
          <cell r="M25">
            <v>0</v>
          </cell>
        </row>
        <row r="26">
          <cell r="A26">
            <v>40381</v>
          </cell>
          <cell r="B26">
            <v>3.2229999999999999</v>
          </cell>
          <cell r="C26">
            <v>1</v>
          </cell>
          <cell r="D26">
            <v>28.36</v>
          </cell>
          <cell r="E26">
            <v>6.6264000000000003</v>
          </cell>
          <cell r="F26">
            <v>0.87760000000000005</v>
          </cell>
          <cell r="G26">
            <v>1</v>
          </cell>
          <cell r="H26">
            <v>0.87760000000000005</v>
          </cell>
          <cell r="I26">
            <v>1.2062999999999999</v>
          </cell>
          <cell r="J26">
            <v>1</v>
          </cell>
          <cell r="K26">
            <v>0</v>
          </cell>
          <cell r="L26">
            <v>0</v>
          </cell>
          <cell r="M26">
            <v>0</v>
          </cell>
        </row>
        <row r="27">
          <cell r="A27">
            <v>40382</v>
          </cell>
          <cell r="B27">
            <v>3.2755000000000001</v>
          </cell>
          <cell r="C27">
            <v>1</v>
          </cell>
          <cell r="D27">
            <v>28.78</v>
          </cell>
          <cell r="E27">
            <v>6.6429</v>
          </cell>
          <cell r="F27">
            <v>0.89190000000000003</v>
          </cell>
          <cell r="G27">
            <v>1</v>
          </cell>
          <cell r="H27">
            <v>0.89190000000000003</v>
          </cell>
          <cell r="I27">
            <v>1.2246999999999999</v>
          </cell>
          <cell r="J27">
            <v>1</v>
          </cell>
          <cell r="K27">
            <v>0</v>
          </cell>
          <cell r="L27">
            <v>0</v>
          </cell>
          <cell r="M27">
            <v>0</v>
          </cell>
        </row>
        <row r="28">
          <cell r="A28">
            <v>40383</v>
          </cell>
          <cell r="B28">
            <v>3.2755000000000001</v>
          </cell>
          <cell r="C28">
            <v>1</v>
          </cell>
          <cell r="D28">
            <v>28.78</v>
          </cell>
          <cell r="E28">
            <v>6.6429</v>
          </cell>
          <cell r="F28">
            <v>0.89190000000000003</v>
          </cell>
          <cell r="G28">
            <v>1</v>
          </cell>
          <cell r="H28">
            <v>0.89190000000000003</v>
          </cell>
          <cell r="I28">
            <v>1.2246999999999999</v>
          </cell>
          <cell r="J28">
            <v>1</v>
          </cell>
          <cell r="K28">
            <v>0</v>
          </cell>
          <cell r="L28">
            <v>0</v>
          </cell>
          <cell r="M28">
            <v>0</v>
          </cell>
        </row>
        <row r="29">
          <cell r="A29">
            <v>40384</v>
          </cell>
          <cell r="B29">
            <v>3.2755000000000001</v>
          </cell>
          <cell r="C29">
            <v>1</v>
          </cell>
          <cell r="D29">
            <v>28.78</v>
          </cell>
          <cell r="E29">
            <v>6.6429</v>
          </cell>
          <cell r="F29">
            <v>0.89190000000000003</v>
          </cell>
          <cell r="G29">
            <v>1</v>
          </cell>
          <cell r="H29">
            <v>0.89190000000000003</v>
          </cell>
          <cell r="I29">
            <v>1.2246999999999999</v>
          </cell>
          <cell r="J29">
            <v>1</v>
          </cell>
          <cell r="K29">
            <v>0</v>
          </cell>
          <cell r="L29">
            <v>0</v>
          </cell>
          <cell r="M29">
            <v>0</v>
          </cell>
        </row>
        <row r="30">
          <cell r="A30">
            <v>40385</v>
          </cell>
          <cell r="B30">
            <v>3.2884000000000002</v>
          </cell>
          <cell r="C30">
            <v>1</v>
          </cell>
          <cell r="D30">
            <v>28.84</v>
          </cell>
          <cell r="E30">
            <v>6.6570999999999998</v>
          </cell>
          <cell r="F30">
            <v>0.89539999999999997</v>
          </cell>
          <cell r="G30">
            <v>1</v>
          </cell>
          <cell r="H30">
            <v>0.89539999999999997</v>
          </cell>
          <cell r="I30">
            <v>1.2222</v>
          </cell>
          <cell r="J30">
            <v>1</v>
          </cell>
          <cell r="K30">
            <v>0</v>
          </cell>
          <cell r="L30">
            <v>0</v>
          </cell>
          <cell r="M30">
            <v>0</v>
          </cell>
        </row>
        <row r="31">
          <cell r="A31">
            <v>40386</v>
          </cell>
          <cell r="B31">
            <v>3.3121999999999998</v>
          </cell>
          <cell r="C31">
            <v>1</v>
          </cell>
          <cell r="D31">
            <v>29.05</v>
          </cell>
          <cell r="E31">
            <v>6.6135000000000002</v>
          </cell>
          <cell r="F31">
            <v>0.90190000000000003</v>
          </cell>
          <cell r="G31">
            <v>1</v>
          </cell>
          <cell r="H31">
            <v>0.90190000000000003</v>
          </cell>
          <cell r="I31">
            <v>1.2278</v>
          </cell>
          <cell r="J31">
            <v>1</v>
          </cell>
          <cell r="K31">
            <v>0</v>
          </cell>
          <cell r="L31">
            <v>0</v>
          </cell>
          <cell r="M31">
            <v>0</v>
          </cell>
        </row>
        <row r="32">
          <cell r="A32">
            <v>40387</v>
          </cell>
          <cell r="B32">
            <v>3.2869000000000002</v>
          </cell>
          <cell r="C32">
            <v>1</v>
          </cell>
          <cell r="D32">
            <v>28.86</v>
          </cell>
          <cell r="E32">
            <v>6.5747</v>
          </cell>
          <cell r="F32">
            <v>0.89500000000000002</v>
          </cell>
          <cell r="G32">
            <v>1</v>
          </cell>
          <cell r="H32">
            <v>0.89500000000000002</v>
          </cell>
          <cell r="I32">
            <v>1.2205999999999999</v>
          </cell>
          <cell r="J32">
            <v>1</v>
          </cell>
          <cell r="K32">
            <v>0</v>
          </cell>
          <cell r="L32">
            <v>0</v>
          </cell>
          <cell r="M32">
            <v>0</v>
          </cell>
        </row>
        <row r="33">
          <cell r="A33">
            <v>40388</v>
          </cell>
          <cell r="B33">
            <v>3.2953000000000001</v>
          </cell>
          <cell r="C33">
            <v>1</v>
          </cell>
          <cell r="D33">
            <v>28.95</v>
          </cell>
          <cell r="E33">
            <v>6.6063999999999998</v>
          </cell>
          <cell r="F33">
            <v>0.89729999999999999</v>
          </cell>
          <cell r="G33">
            <v>1</v>
          </cell>
          <cell r="H33">
            <v>0.89729999999999999</v>
          </cell>
          <cell r="I33">
            <v>1.2252000000000001</v>
          </cell>
          <cell r="J33">
            <v>1</v>
          </cell>
          <cell r="K33">
            <v>0</v>
          </cell>
          <cell r="L33">
            <v>0</v>
          </cell>
          <cell r="M33">
            <v>0</v>
          </cell>
        </row>
        <row r="34">
          <cell r="A34">
            <v>40389</v>
          </cell>
          <cell r="B34">
            <v>3.3001</v>
          </cell>
          <cell r="C34">
            <v>1</v>
          </cell>
          <cell r="D34">
            <v>29.01</v>
          </cell>
          <cell r="E34">
            <v>6.6128999999999998</v>
          </cell>
          <cell r="F34">
            <v>0.89859999999999995</v>
          </cell>
          <cell r="G34">
            <v>1</v>
          </cell>
          <cell r="H34">
            <v>0.89859999999999995</v>
          </cell>
          <cell r="I34">
            <v>1.2241</v>
          </cell>
          <cell r="J34">
            <v>1</v>
          </cell>
          <cell r="K34">
            <v>0</v>
          </cell>
          <cell r="L34">
            <v>0</v>
          </cell>
          <cell r="M34">
            <v>0</v>
          </cell>
        </row>
        <row r="35">
          <cell r="A35">
            <v>40390</v>
          </cell>
          <cell r="B35">
            <v>3.3001</v>
          </cell>
          <cell r="C35">
            <v>1</v>
          </cell>
          <cell r="D35">
            <v>29.01</v>
          </cell>
          <cell r="E35">
            <v>6.6128999999999998</v>
          </cell>
          <cell r="F35">
            <v>0.89859999999999995</v>
          </cell>
          <cell r="G35">
            <v>1</v>
          </cell>
          <cell r="H35">
            <v>0.89859999999999995</v>
          </cell>
          <cell r="I35">
            <v>1.2241</v>
          </cell>
          <cell r="J35">
            <v>1</v>
          </cell>
          <cell r="K35">
            <v>0</v>
          </cell>
          <cell r="L35">
            <v>0</v>
          </cell>
          <cell r="M35">
            <v>0</v>
          </cell>
        </row>
        <row r="36">
          <cell r="A36">
            <v>40391</v>
          </cell>
          <cell r="B36">
            <v>3.3001</v>
          </cell>
          <cell r="C36">
            <v>1</v>
          </cell>
          <cell r="D36">
            <v>29.01</v>
          </cell>
          <cell r="E36">
            <v>6.6128999999999998</v>
          </cell>
          <cell r="F36">
            <v>0.89859999999999995</v>
          </cell>
          <cell r="G36">
            <v>1</v>
          </cell>
          <cell r="H36">
            <v>0.89859999999999995</v>
          </cell>
          <cell r="I36">
            <v>1.2241</v>
          </cell>
          <cell r="J36">
            <v>1</v>
          </cell>
          <cell r="K36">
            <v>0</v>
          </cell>
          <cell r="L36">
            <v>0</v>
          </cell>
          <cell r="M36">
            <v>0</v>
          </cell>
        </row>
        <row r="37">
          <cell r="A37">
            <v>40392</v>
          </cell>
          <cell r="B37">
            <v>3.3001</v>
          </cell>
          <cell r="C37">
            <v>1</v>
          </cell>
          <cell r="D37">
            <v>29.01</v>
          </cell>
          <cell r="E37">
            <v>6.6128999999999998</v>
          </cell>
          <cell r="F37">
            <v>0.89859999999999995</v>
          </cell>
          <cell r="G37">
            <v>1</v>
          </cell>
          <cell r="H37">
            <v>0.89859999999999995</v>
          </cell>
          <cell r="I37">
            <v>1.2241</v>
          </cell>
          <cell r="J37">
            <v>1</v>
          </cell>
          <cell r="K37">
            <v>0</v>
          </cell>
          <cell r="L37">
            <v>0</v>
          </cell>
          <cell r="M37">
            <v>0</v>
          </cell>
        </row>
        <row r="38">
          <cell r="A38">
            <v>40393</v>
          </cell>
          <cell r="B38">
            <v>3.3357000000000001</v>
          </cell>
          <cell r="C38">
            <v>1</v>
          </cell>
          <cell r="D38">
            <v>29.26</v>
          </cell>
          <cell r="E38">
            <v>6.6467000000000001</v>
          </cell>
          <cell r="F38">
            <v>0.9083</v>
          </cell>
          <cell r="G38">
            <v>1</v>
          </cell>
          <cell r="H38">
            <v>0.9083</v>
          </cell>
          <cell r="I38">
            <v>1.2284999999999999</v>
          </cell>
          <cell r="J38">
            <v>1</v>
          </cell>
          <cell r="K38">
            <v>0</v>
          </cell>
          <cell r="L38">
            <v>0</v>
          </cell>
          <cell r="M38">
            <v>0</v>
          </cell>
        </row>
        <row r="39">
          <cell r="A39">
            <v>40394</v>
          </cell>
          <cell r="B39">
            <v>3.3449</v>
          </cell>
          <cell r="C39">
            <v>1</v>
          </cell>
          <cell r="D39">
            <v>29.31</v>
          </cell>
          <cell r="E39">
            <v>6.6470000000000002</v>
          </cell>
          <cell r="F39">
            <v>0.91080000000000005</v>
          </cell>
          <cell r="G39">
            <v>1</v>
          </cell>
          <cell r="H39">
            <v>0.91080000000000005</v>
          </cell>
          <cell r="I39">
            <v>1.2332000000000001</v>
          </cell>
          <cell r="J39">
            <v>1</v>
          </cell>
          <cell r="K39">
            <v>0</v>
          </cell>
          <cell r="L39">
            <v>0</v>
          </cell>
          <cell r="M39">
            <v>0</v>
          </cell>
        </row>
        <row r="40">
          <cell r="A40">
            <v>40395</v>
          </cell>
          <cell r="B40">
            <v>3.3635999999999999</v>
          </cell>
          <cell r="C40">
            <v>1</v>
          </cell>
          <cell r="D40">
            <v>29.4</v>
          </cell>
          <cell r="E40">
            <v>6.6643999999999997</v>
          </cell>
          <cell r="F40">
            <v>0.91590000000000005</v>
          </cell>
          <cell r="G40">
            <v>1</v>
          </cell>
          <cell r="H40">
            <v>0.91590000000000005</v>
          </cell>
          <cell r="I40">
            <v>1.2398</v>
          </cell>
          <cell r="J40">
            <v>1</v>
          </cell>
          <cell r="K40">
            <v>0</v>
          </cell>
          <cell r="L40">
            <v>0</v>
          </cell>
          <cell r="M40">
            <v>0</v>
          </cell>
        </row>
        <row r="41">
          <cell r="A41">
            <v>40396</v>
          </cell>
          <cell r="B41">
            <v>3.3654999999999999</v>
          </cell>
          <cell r="C41">
            <v>1</v>
          </cell>
          <cell r="D41">
            <v>29.38</v>
          </cell>
          <cell r="E41">
            <v>6.6439000000000004</v>
          </cell>
          <cell r="F41">
            <v>0.91639999999999999</v>
          </cell>
          <cell r="G41">
            <v>1</v>
          </cell>
          <cell r="H41">
            <v>0.91639999999999999</v>
          </cell>
          <cell r="I41">
            <v>1.2391000000000001</v>
          </cell>
          <cell r="J41">
            <v>1</v>
          </cell>
          <cell r="K41">
            <v>0</v>
          </cell>
          <cell r="L41">
            <v>0</v>
          </cell>
          <cell r="M41">
            <v>0</v>
          </cell>
        </row>
        <row r="42">
          <cell r="A42">
            <v>40397</v>
          </cell>
          <cell r="B42">
            <v>3.3654999999999999</v>
          </cell>
          <cell r="C42">
            <v>1</v>
          </cell>
          <cell r="D42">
            <v>29.38</v>
          </cell>
          <cell r="E42">
            <v>6.6439000000000004</v>
          </cell>
          <cell r="F42">
            <v>0.91639999999999999</v>
          </cell>
          <cell r="G42">
            <v>1</v>
          </cell>
          <cell r="H42">
            <v>0.91639999999999999</v>
          </cell>
          <cell r="I42">
            <v>1.2391000000000001</v>
          </cell>
          <cell r="J42">
            <v>1</v>
          </cell>
          <cell r="K42">
            <v>0</v>
          </cell>
          <cell r="L42">
            <v>0</v>
          </cell>
          <cell r="M42">
            <v>0</v>
          </cell>
        </row>
        <row r="43">
          <cell r="A43">
            <v>40398</v>
          </cell>
          <cell r="B43">
            <v>3.3654999999999999</v>
          </cell>
          <cell r="C43">
            <v>1</v>
          </cell>
          <cell r="D43">
            <v>29.38</v>
          </cell>
          <cell r="E43">
            <v>6.6439000000000004</v>
          </cell>
          <cell r="F43">
            <v>0.91639999999999999</v>
          </cell>
          <cell r="G43">
            <v>1</v>
          </cell>
          <cell r="H43">
            <v>0.91639999999999999</v>
          </cell>
          <cell r="I43">
            <v>1.2391000000000001</v>
          </cell>
          <cell r="J43">
            <v>1</v>
          </cell>
          <cell r="K43">
            <v>0</v>
          </cell>
          <cell r="L43">
            <v>0</v>
          </cell>
          <cell r="M43">
            <v>0</v>
          </cell>
        </row>
        <row r="44">
          <cell r="A44">
            <v>40399</v>
          </cell>
          <cell r="B44">
            <v>3.3725000000000001</v>
          </cell>
          <cell r="C44">
            <v>1</v>
          </cell>
          <cell r="D44">
            <v>29.35</v>
          </cell>
          <cell r="E44">
            <v>6.6525999999999996</v>
          </cell>
          <cell r="F44">
            <v>0.91830000000000001</v>
          </cell>
          <cell r="G44">
            <v>1</v>
          </cell>
          <cell r="H44">
            <v>0.91830000000000001</v>
          </cell>
          <cell r="I44">
            <v>1.2368999999999999</v>
          </cell>
          <cell r="J44">
            <v>1</v>
          </cell>
          <cell r="K44">
            <v>0</v>
          </cell>
          <cell r="L44">
            <v>0</v>
          </cell>
          <cell r="M44">
            <v>0</v>
          </cell>
        </row>
        <row r="45">
          <cell r="A45">
            <v>40400</v>
          </cell>
          <cell r="B45">
            <v>3.3490000000000002</v>
          </cell>
          <cell r="C45">
            <v>1</v>
          </cell>
          <cell r="D45">
            <v>29.17</v>
          </cell>
          <cell r="E45">
            <v>6.6001000000000003</v>
          </cell>
          <cell r="F45">
            <v>0.91190000000000004</v>
          </cell>
          <cell r="G45">
            <v>1</v>
          </cell>
          <cell r="H45">
            <v>0.91190000000000004</v>
          </cell>
          <cell r="I45">
            <v>1.2342</v>
          </cell>
          <cell r="J45">
            <v>1</v>
          </cell>
          <cell r="K45">
            <v>0</v>
          </cell>
          <cell r="L45">
            <v>0</v>
          </cell>
          <cell r="M45">
            <v>0</v>
          </cell>
        </row>
        <row r="46">
          <cell r="A46">
            <v>40401</v>
          </cell>
          <cell r="B46">
            <v>3.3231999999999999</v>
          </cell>
          <cell r="C46">
            <v>1</v>
          </cell>
          <cell r="D46">
            <v>28.89</v>
          </cell>
          <cell r="E46">
            <v>6.5608000000000004</v>
          </cell>
          <cell r="F46">
            <v>0.90490000000000004</v>
          </cell>
          <cell r="G46">
            <v>1</v>
          </cell>
          <cell r="H46">
            <v>0.90490000000000004</v>
          </cell>
          <cell r="I46">
            <v>1.2277</v>
          </cell>
          <cell r="J46">
            <v>1</v>
          </cell>
          <cell r="K46">
            <v>0</v>
          </cell>
          <cell r="L46">
            <v>0</v>
          </cell>
          <cell r="M46">
            <v>0</v>
          </cell>
        </row>
        <row r="47">
          <cell r="A47">
            <v>40402</v>
          </cell>
          <cell r="B47">
            <v>3.3029999999999999</v>
          </cell>
          <cell r="C47">
            <v>1</v>
          </cell>
          <cell r="D47">
            <v>28.74</v>
          </cell>
          <cell r="E47">
            <v>6.5590999999999999</v>
          </cell>
          <cell r="F47">
            <v>0.89939999999999998</v>
          </cell>
          <cell r="G47">
            <v>1</v>
          </cell>
          <cell r="H47">
            <v>0.89939999999999998</v>
          </cell>
          <cell r="I47">
            <v>1.2248000000000001</v>
          </cell>
          <cell r="J47">
            <v>1</v>
          </cell>
          <cell r="K47">
            <v>0</v>
          </cell>
          <cell r="L47">
            <v>0</v>
          </cell>
          <cell r="M47">
            <v>0</v>
          </cell>
        </row>
        <row r="48">
          <cell r="A48">
            <v>40403</v>
          </cell>
          <cell r="B48">
            <v>3.3148</v>
          </cell>
          <cell r="C48">
            <v>1</v>
          </cell>
          <cell r="D48">
            <v>28.78</v>
          </cell>
          <cell r="E48">
            <v>6.5750000000000002</v>
          </cell>
          <cell r="F48">
            <v>0.90259999999999996</v>
          </cell>
          <cell r="G48">
            <v>1</v>
          </cell>
          <cell r="H48">
            <v>0.90259999999999996</v>
          </cell>
          <cell r="I48">
            <v>1.2258</v>
          </cell>
          <cell r="J48">
            <v>1</v>
          </cell>
          <cell r="K48">
            <v>0</v>
          </cell>
          <cell r="L48">
            <v>0</v>
          </cell>
          <cell r="M48">
            <v>0</v>
          </cell>
        </row>
        <row r="49">
          <cell r="A49">
            <v>40404</v>
          </cell>
          <cell r="B49">
            <v>3.3148</v>
          </cell>
          <cell r="C49">
            <v>1</v>
          </cell>
          <cell r="D49">
            <v>28.78</v>
          </cell>
          <cell r="E49">
            <v>6.5750000000000002</v>
          </cell>
          <cell r="F49">
            <v>0.90259999999999996</v>
          </cell>
          <cell r="G49">
            <v>1</v>
          </cell>
          <cell r="H49">
            <v>0.90259999999999996</v>
          </cell>
          <cell r="I49">
            <v>1.2258</v>
          </cell>
          <cell r="J49">
            <v>1</v>
          </cell>
          <cell r="K49">
            <v>0</v>
          </cell>
          <cell r="L49">
            <v>0</v>
          </cell>
          <cell r="M49">
            <v>0</v>
          </cell>
        </row>
        <row r="50">
          <cell r="A50">
            <v>40405</v>
          </cell>
          <cell r="B50">
            <v>3.3148</v>
          </cell>
          <cell r="C50">
            <v>1</v>
          </cell>
          <cell r="D50">
            <v>28.78</v>
          </cell>
          <cell r="E50">
            <v>6.5750000000000002</v>
          </cell>
          <cell r="F50">
            <v>0.90259999999999996</v>
          </cell>
          <cell r="G50">
            <v>1</v>
          </cell>
          <cell r="H50">
            <v>0.90259999999999996</v>
          </cell>
          <cell r="I50">
            <v>1.2258</v>
          </cell>
          <cell r="J50">
            <v>1</v>
          </cell>
          <cell r="K50">
            <v>0</v>
          </cell>
          <cell r="L50">
            <v>0</v>
          </cell>
          <cell r="M50">
            <v>0</v>
          </cell>
        </row>
        <row r="51">
          <cell r="A51">
            <v>40406</v>
          </cell>
          <cell r="B51">
            <v>3.2772999999999999</v>
          </cell>
          <cell r="C51">
            <v>1</v>
          </cell>
          <cell r="D51">
            <v>28.43</v>
          </cell>
          <cell r="E51">
            <v>6.5315000000000003</v>
          </cell>
          <cell r="F51">
            <v>0.89239999999999997</v>
          </cell>
          <cell r="G51">
            <v>1</v>
          </cell>
          <cell r="H51">
            <v>0.89239999999999997</v>
          </cell>
          <cell r="I51">
            <v>1.2165999999999999</v>
          </cell>
          <cell r="J51">
            <v>1</v>
          </cell>
          <cell r="K51">
            <v>0</v>
          </cell>
          <cell r="L51">
            <v>0</v>
          </cell>
          <cell r="M51">
            <v>0</v>
          </cell>
        </row>
        <row r="52">
          <cell r="A52">
            <v>40407</v>
          </cell>
          <cell r="B52">
            <v>3.3108</v>
          </cell>
          <cell r="C52">
            <v>1</v>
          </cell>
          <cell r="D52">
            <v>28.6</v>
          </cell>
          <cell r="E52">
            <v>6.5358999999999998</v>
          </cell>
          <cell r="F52">
            <v>0.90149999999999997</v>
          </cell>
          <cell r="G52">
            <v>1</v>
          </cell>
          <cell r="H52">
            <v>0.90149999999999997</v>
          </cell>
          <cell r="I52">
            <v>1.2227000000000001</v>
          </cell>
          <cell r="J52">
            <v>1</v>
          </cell>
          <cell r="K52">
            <v>0</v>
          </cell>
          <cell r="L52">
            <v>0</v>
          </cell>
          <cell r="M52">
            <v>0</v>
          </cell>
        </row>
        <row r="53">
          <cell r="A53">
            <v>40408</v>
          </cell>
          <cell r="B53">
            <v>3.31</v>
          </cell>
          <cell r="C53">
            <v>1</v>
          </cell>
          <cell r="D53">
            <v>28.54</v>
          </cell>
          <cell r="E53">
            <v>6.5636999999999999</v>
          </cell>
          <cell r="F53">
            <v>0.90129999999999999</v>
          </cell>
          <cell r="G53">
            <v>1</v>
          </cell>
          <cell r="H53">
            <v>0.90129999999999999</v>
          </cell>
          <cell r="I53">
            <v>1.2227000000000001</v>
          </cell>
          <cell r="J53">
            <v>1</v>
          </cell>
          <cell r="K53">
            <v>0</v>
          </cell>
          <cell r="L53">
            <v>0</v>
          </cell>
          <cell r="M53">
            <v>0</v>
          </cell>
        </row>
        <row r="54">
          <cell r="A54">
            <v>40409</v>
          </cell>
          <cell r="B54">
            <v>3.2974999999999999</v>
          </cell>
          <cell r="C54">
            <v>1</v>
          </cell>
          <cell r="D54">
            <v>28.38</v>
          </cell>
          <cell r="E54">
            <v>6.5593000000000004</v>
          </cell>
          <cell r="F54">
            <v>0.89790000000000003</v>
          </cell>
          <cell r="G54">
            <v>1</v>
          </cell>
          <cell r="H54">
            <v>0.89790000000000003</v>
          </cell>
          <cell r="I54">
            <v>1.2158</v>
          </cell>
          <cell r="J54">
            <v>1</v>
          </cell>
          <cell r="K54">
            <v>0</v>
          </cell>
          <cell r="L54">
            <v>0</v>
          </cell>
          <cell r="M54">
            <v>0</v>
          </cell>
        </row>
        <row r="55">
          <cell r="A55">
            <v>40410</v>
          </cell>
          <cell r="B55">
            <v>3.2685</v>
          </cell>
          <cell r="C55">
            <v>1</v>
          </cell>
          <cell r="D55">
            <v>28.07</v>
          </cell>
          <cell r="E55">
            <v>6.4958999999999998</v>
          </cell>
          <cell r="F55">
            <v>0.89</v>
          </cell>
          <cell r="G55">
            <v>1</v>
          </cell>
          <cell r="H55">
            <v>0.89</v>
          </cell>
          <cell r="I55">
            <v>1.2050000000000001</v>
          </cell>
          <cell r="J55">
            <v>1</v>
          </cell>
          <cell r="K55">
            <v>0</v>
          </cell>
          <cell r="L55">
            <v>0</v>
          </cell>
          <cell r="M55">
            <v>0</v>
          </cell>
        </row>
        <row r="56">
          <cell r="A56">
            <v>40411</v>
          </cell>
          <cell r="B56">
            <v>3.2685</v>
          </cell>
          <cell r="C56">
            <v>1</v>
          </cell>
          <cell r="D56">
            <v>28.07</v>
          </cell>
          <cell r="E56">
            <v>6.4958999999999998</v>
          </cell>
          <cell r="F56">
            <v>0.89</v>
          </cell>
          <cell r="G56">
            <v>1</v>
          </cell>
          <cell r="H56">
            <v>0.89</v>
          </cell>
          <cell r="I56">
            <v>1.2050000000000001</v>
          </cell>
          <cell r="J56">
            <v>1</v>
          </cell>
          <cell r="K56">
            <v>0</v>
          </cell>
          <cell r="L56">
            <v>0</v>
          </cell>
          <cell r="M56">
            <v>0</v>
          </cell>
        </row>
        <row r="57">
          <cell r="A57">
            <v>40412</v>
          </cell>
          <cell r="B57">
            <v>3.2685</v>
          </cell>
          <cell r="C57">
            <v>1</v>
          </cell>
          <cell r="D57">
            <v>28.07</v>
          </cell>
          <cell r="E57">
            <v>6.4958999999999998</v>
          </cell>
          <cell r="F57">
            <v>0.89</v>
          </cell>
          <cell r="G57">
            <v>1</v>
          </cell>
          <cell r="H57">
            <v>0.89</v>
          </cell>
          <cell r="I57">
            <v>1.2050000000000001</v>
          </cell>
          <cell r="J57">
            <v>1</v>
          </cell>
          <cell r="K57">
            <v>0</v>
          </cell>
          <cell r="L57">
            <v>0</v>
          </cell>
          <cell r="M57">
            <v>0</v>
          </cell>
        </row>
        <row r="58">
          <cell r="A58">
            <v>40413</v>
          </cell>
          <cell r="B58">
            <v>3.2711000000000001</v>
          </cell>
          <cell r="C58">
            <v>1</v>
          </cell>
          <cell r="D58">
            <v>28.05</v>
          </cell>
          <cell r="E58">
            <v>6.5062999999999995</v>
          </cell>
          <cell r="F58">
            <v>0.89070000000000005</v>
          </cell>
          <cell r="G58">
            <v>1</v>
          </cell>
          <cell r="H58">
            <v>0.89070000000000005</v>
          </cell>
          <cell r="I58">
            <v>1.2072000000000001</v>
          </cell>
          <cell r="J58">
            <v>1</v>
          </cell>
          <cell r="K58">
            <v>0</v>
          </cell>
          <cell r="L58">
            <v>0</v>
          </cell>
          <cell r="M58">
            <v>0</v>
          </cell>
        </row>
        <row r="59">
          <cell r="A59">
            <v>40414</v>
          </cell>
          <cell r="B59">
            <v>3.2663000000000002</v>
          </cell>
          <cell r="C59">
            <v>1</v>
          </cell>
          <cell r="D59">
            <v>28.02</v>
          </cell>
          <cell r="E59">
            <v>6.5717999999999996</v>
          </cell>
          <cell r="F59">
            <v>0.88939999999999997</v>
          </cell>
          <cell r="G59">
            <v>1</v>
          </cell>
          <cell r="H59">
            <v>0.88939999999999997</v>
          </cell>
          <cell r="I59">
            <v>1.2102999999999999</v>
          </cell>
          <cell r="J59">
            <v>1</v>
          </cell>
          <cell r="K59">
            <v>0</v>
          </cell>
          <cell r="L59">
            <v>0</v>
          </cell>
          <cell r="M59">
            <v>0</v>
          </cell>
        </row>
        <row r="60">
          <cell r="A60">
            <v>40415</v>
          </cell>
          <cell r="B60">
            <v>3.2454000000000001</v>
          </cell>
          <cell r="C60">
            <v>1</v>
          </cell>
          <cell r="D60">
            <v>27.87</v>
          </cell>
          <cell r="E60">
            <v>6.5084999999999997</v>
          </cell>
          <cell r="F60">
            <v>0.88370000000000004</v>
          </cell>
          <cell r="G60">
            <v>1</v>
          </cell>
          <cell r="H60">
            <v>0.88370000000000004</v>
          </cell>
          <cell r="I60">
            <v>1.2017</v>
          </cell>
          <cell r="J60">
            <v>1</v>
          </cell>
          <cell r="K60">
            <v>0</v>
          </cell>
          <cell r="L60">
            <v>0</v>
          </cell>
          <cell r="M60">
            <v>0</v>
          </cell>
        </row>
        <row r="61">
          <cell r="A61">
            <v>40416</v>
          </cell>
          <cell r="B61">
            <v>3.2618999999999998</v>
          </cell>
          <cell r="C61">
            <v>1</v>
          </cell>
          <cell r="D61">
            <v>27.93</v>
          </cell>
          <cell r="E61">
            <v>6.5049000000000001</v>
          </cell>
          <cell r="F61">
            <v>0.88819999999999999</v>
          </cell>
          <cell r="G61">
            <v>1</v>
          </cell>
          <cell r="H61">
            <v>0.88819999999999999</v>
          </cell>
          <cell r="I61">
            <v>1.2040999999999999</v>
          </cell>
          <cell r="J61">
            <v>1</v>
          </cell>
          <cell r="K61">
            <v>0</v>
          </cell>
          <cell r="L61">
            <v>0</v>
          </cell>
          <cell r="M61">
            <v>0</v>
          </cell>
        </row>
        <row r="62">
          <cell r="A62">
            <v>40417</v>
          </cell>
          <cell r="B62">
            <v>3.2589999999999999</v>
          </cell>
          <cell r="C62">
            <v>1</v>
          </cell>
          <cell r="D62">
            <v>27.79</v>
          </cell>
          <cell r="E62">
            <v>6.4912999999999998</v>
          </cell>
          <cell r="F62">
            <v>0.88739999999999997</v>
          </cell>
          <cell r="G62">
            <v>1</v>
          </cell>
          <cell r="H62">
            <v>0.88739999999999997</v>
          </cell>
          <cell r="I62">
            <v>1.2025999999999999</v>
          </cell>
          <cell r="J62">
            <v>1</v>
          </cell>
          <cell r="K62">
            <v>0</v>
          </cell>
          <cell r="L62">
            <v>0</v>
          </cell>
          <cell r="M62">
            <v>0</v>
          </cell>
        </row>
        <row r="63">
          <cell r="A63">
            <v>40418</v>
          </cell>
          <cell r="B63">
            <v>3.2589999999999999</v>
          </cell>
          <cell r="C63">
            <v>1</v>
          </cell>
          <cell r="D63">
            <v>27.79</v>
          </cell>
          <cell r="E63">
            <v>6.4912999999999998</v>
          </cell>
          <cell r="F63">
            <v>0.88739999999999997</v>
          </cell>
          <cell r="G63">
            <v>1</v>
          </cell>
          <cell r="H63">
            <v>0.88739999999999997</v>
          </cell>
          <cell r="I63">
            <v>1.2025999999999999</v>
          </cell>
          <cell r="J63">
            <v>1</v>
          </cell>
          <cell r="K63">
            <v>0</v>
          </cell>
          <cell r="L63">
            <v>0</v>
          </cell>
          <cell r="M63">
            <v>0</v>
          </cell>
        </row>
        <row r="64">
          <cell r="A64">
            <v>40419</v>
          </cell>
          <cell r="B64">
            <v>3.2589999999999999</v>
          </cell>
          <cell r="C64">
            <v>1</v>
          </cell>
          <cell r="D64">
            <v>27.79</v>
          </cell>
          <cell r="E64">
            <v>6.4912999999999998</v>
          </cell>
          <cell r="F64">
            <v>0.88739999999999997</v>
          </cell>
          <cell r="G64">
            <v>1</v>
          </cell>
          <cell r="H64">
            <v>0.88739999999999997</v>
          </cell>
          <cell r="I64">
            <v>1.2025999999999999</v>
          </cell>
          <cell r="J64">
            <v>1</v>
          </cell>
          <cell r="K64">
            <v>0</v>
          </cell>
          <cell r="L64">
            <v>0</v>
          </cell>
          <cell r="M64">
            <v>0</v>
          </cell>
        </row>
        <row r="65">
          <cell r="A65">
            <v>40420</v>
          </cell>
          <cell r="B65">
            <v>3.2986</v>
          </cell>
          <cell r="C65">
            <v>1</v>
          </cell>
          <cell r="D65">
            <v>28.09</v>
          </cell>
          <cell r="E65">
            <v>6.5781999999999998</v>
          </cell>
          <cell r="F65">
            <v>0.8982</v>
          </cell>
          <cell r="G65">
            <v>1</v>
          </cell>
          <cell r="H65">
            <v>0.8982</v>
          </cell>
          <cell r="I65">
            <v>1.2162999999999999</v>
          </cell>
          <cell r="J65">
            <v>1</v>
          </cell>
          <cell r="K65">
            <v>0</v>
          </cell>
          <cell r="L65">
            <v>0</v>
          </cell>
          <cell r="M65">
            <v>0</v>
          </cell>
        </row>
        <row r="66">
          <cell r="A66">
            <v>40421</v>
          </cell>
          <cell r="B66">
            <v>3.2751000000000001</v>
          </cell>
          <cell r="C66">
            <v>1</v>
          </cell>
          <cell r="D66">
            <v>27.92</v>
          </cell>
          <cell r="E66">
            <v>6.5552000000000001</v>
          </cell>
          <cell r="F66">
            <v>0.89180000000000004</v>
          </cell>
          <cell r="G66">
            <v>1</v>
          </cell>
          <cell r="H66">
            <v>0.89180000000000004</v>
          </cell>
          <cell r="I66">
            <v>1.2101</v>
          </cell>
          <cell r="J66">
            <v>1</v>
          </cell>
          <cell r="K66">
            <v>0</v>
          </cell>
          <cell r="L66">
            <v>0</v>
          </cell>
          <cell r="M66">
            <v>0</v>
          </cell>
        </row>
        <row r="67">
          <cell r="A67">
            <v>40422</v>
          </cell>
          <cell r="B67">
            <v>3.3052999999999999</v>
          </cell>
          <cell r="C67">
            <v>1</v>
          </cell>
          <cell r="D67">
            <v>28.06</v>
          </cell>
          <cell r="E67">
            <v>6.633</v>
          </cell>
          <cell r="F67">
            <v>0.9</v>
          </cell>
          <cell r="G67">
            <v>1</v>
          </cell>
          <cell r="H67">
            <v>0.9</v>
          </cell>
          <cell r="I67">
            <v>1.2173</v>
          </cell>
          <cell r="J67">
            <v>1</v>
          </cell>
          <cell r="K67">
            <v>0</v>
          </cell>
          <cell r="L67">
            <v>0</v>
          </cell>
          <cell r="M67">
            <v>0</v>
          </cell>
        </row>
        <row r="68">
          <cell r="A68">
            <v>40423</v>
          </cell>
          <cell r="B68">
            <v>3.3306</v>
          </cell>
          <cell r="C68">
            <v>1</v>
          </cell>
          <cell r="D68">
            <v>28.27</v>
          </cell>
          <cell r="E68">
            <v>6.6248000000000005</v>
          </cell>
          <cell r="F68">
            <v>0.90690000000000004</v>
          </cell>
          <cell r="G68">
            <v>1</v>
          </cell>
          <cell r="H68">
            <v>0.90690000000000004</v>
          </cell>
          <cell r="I68">
            <v>1.2231000000000001</v>
          </cell>
          <cell r="J68">
            <v>1</v>
          </cell>
          <cell r="K68">
            <v>0</v>
          </cell>
          <cell r="L68">
            <v>0</v>
          </cell>
          <cell r="M68">
            <v>0</v>
          </cell>
        </row>
        <row r="69">
          <cell r="A69">
            <v>40424</v>
          </cell>
          <cell r="B69">
            <v>3.335</v>
          </cell>
          <cell r="C69">
            <v>1</v>
          </cell>
          <cell r="D69">
            <v>28.31</v>
          </cell>
          <cell r="E69">
            <v>6.5769000000000002</v>
          </cell>
          <cell r="F69">
            <v>0.90810000000000002</v>
          </cell>
          <cell r="G69">
            <v>1</v>
          </cell>
          <cell r="H69">
            <v>0.90810000000000002</v>
          </cell>
          <cell r="I69">
            <v>1.2236</v>
          </cell>
          <cell r="J69">
            <v>1</v>
          </cell>
          <cell r="K69">
            <v>0</v>
          </cell>
          <cell r="L69">
            <v>0</v>
          </cell>
          <cell r="M69">
            <v>0</v>
          </cell>
        </row>
        <row r="70">
          <cell r="A70">
            <v>40425</v>
          </cell>
          <cell r="B70">
            <v>3.335</v>
          </cell>
          <cell r="C70">
            <v>1</v>
          </cell>
          <cell r="D70">
            <v>28.31</v>
          </cell>
          <cell r="E70">
            <v>6.5769000000000002</v>
          </cell>
          <cell r="F70">
            <v>0.90810000000000002</v>
          </cell>
          <cell r="G70">
            <v>1</v>
          </cell>
          <cell r="H70">
            <v>0.90810000000000002</v>
          </cell>
          <cell r="I70">
            <v>1.2236</v>
          </cell>
          <cell r="J70">
            <v>1</v>
          </cell>
          <cell r="K70">
            <v>0</v>
          </cell>
          <cell r="L70">
            <v>0</v>
          </cell>
          <cell r="M70">
            <v>0</v>
          </cell>
        </row>
        <row r="71">
          <cell r="A71">
            <v>40426</v>
          </cell>
          <cell r="B71">
            <v>3.335</v>
          </cell>
          <cell r="C71">
            <v>1</v>
          </cell>
          <cell r="D71">
            <v>28.31</v>
          </cell>
          <cell r="E71">
            <v>6.5769000000000002</v>
          </cell>
          <cell r="F71">
            <v>0.90810000000000002</v>
          </cell>
          <cell r="G71">
            <v>1</v>
          </cell>
          <cell r="H71">
            <v>0.90810000000000002</v>
          </cell>
          <cell r="I71">
            <v>1.2236</v>
          </cell>
          <cell r="J71">
            <v>1</v>
          </cell>
          <cell r="K71">
            <v>0</v>
          </cell>
          <cell r="L71">
            <v>0</v>
          </cell>
          <cell r="M71">
            <v>0</v>
          </cell>
        </row>
        <row r="72">
          <cell r="A72">
            <v>40427</v>
          </cell>
          <cell r="B72">
            <v>3.3677000000000001</v>
          </cell>
          <cell r="C72">
            <v>1</v>
          </cell>
          <cell r="D72">
            <v>28.53</v>
          </cell>
          <cell r="E72">
            <v>6.5853000000000002</v>
          </cell>
          <cell r="F72">
            <v>0.91700000000000004</v>
          </cell>
          <cell r="G72">
            <v>1</v>
          </cell>
          <cell r="H72">
            <v>0.91700000000000004</v>
          </cell>
          <cell r="I72">
            <v>1.2321</v>
          </cell>
          <cell r="J72">
            <v>1</v>
          </cell>
          <cell r="K72">
            <v>0</v>
          </cell>
          <cell r="L72">
            <v>0</v>
          </cell>
          <cell r="M72">
            <v>0</v>
          </cell>
        </row>
        <row r="73">
          <cell r="A73">
            <v>40428</v>
          </cell>
          <cell r="B73">
            <v>3.3552</v>
          </cell>
          <cell r="C73">
            <v>1</v>
          </cell>
          <cell r="D73">
            <v>28.55</v>
          </cell>
          <cell r="E73">
            <v>6.6367000000000003</v>
          </cell>
          <cell r="F73">
            <v>0.91359999999999997</v>
          </cell>
          <cell r="G73">
            <v>1</v>
          </cell>
          <cell r="H73">
            <v>0.91359999999999997</v>
          </cell>
          <cell r="I73">
            <v>1.2304999999999999</v>
          </cell>
          <cell r="J73">
            <v>1</v>
          </cell>
          <cell r="K73">
            <v>0</v>
          </cell>
          <cell r="L73">
            <v>0</v>
          </cell>
          <cell r="M73">
            <v>0</v>
          </cell>
        </row>
        <row r="74">
          <cell r="A74">
            <v>40429</v>
          </cell>
          <cell r="B74">
            <v>3.3559000000000001</v>
          </cell>
          <cell r="C74">
            <v>1</v>
          </cell>
          <cell r="D74">
            <v>28.38</v>
          </cell>
          <cell r="E74">
            <v>6.6581000000000001</v>
          </cell>
          <cell r="F74">
            <v>0.91379999999999995</v>
          </cell>
          <cell r="G74">
            <v>1</v>
          </cell>
          <cell r="H74">
            <v>0.91379999999999995</v>
          </cell>
          <cell r="I74">
            <v>1.2293000000000001</v>
          </cell>
          <cell r="J74">
            <v>1</v>
          </cell>
          <cell r="K74">
            <v>0</v>
          </cell>
          <cell r="L74">
            <v>0</v>
          </cell>
          <cell r="M74">
            <v>0</v>
          </cell>
        </row>
        <row r="75">
          <cell r="A75">
            <v>40430</v>
          </cell>
          <cell r="B75">
            <v>3.3824000000000001</v>
          </cell>
          <cell r="C75">
            <v>1</v>
          </cell>
          <cell r="D75">
            <v>28.43</v>
          </cell>
          <cell r="E75">
            <v>6.6645000000000003</v>
          </cell>
          <cell r="F75">
            <v>0.92100000000000004</v>
          </cell>
          <cell r="G75">
            <v>1</v>
          </cell>
          <cell r="H75">
            <v>0.92100000000000004</v>
          </cell>
          <cell r="I75">
            <v>1.2366999999999999</v>
          </cell>
          <cell r="J75">
            <v>1</v>
          </cell>
          <cell r="K75">
            <v>0</v>
          </cell>
          <cell r="L75">
            <v>0</v>
          </cell>
          <cell r="M75">
            <v>0</v>
          </cell>
        </row>
        <row r="76">
          <cell r="A76">
            <v>40431</v>
          </cell>
          <cell r="B76">
            <v>3.3915999999999999</v>
          </cell>
          <cell r="C76">
            <v>1</v>
          </cell>
          <cell r="D76">
            <v>28.48</v>
          </cell>
          <cell r="E76">
            <v>6.6654</v>
          </cell>
          <cell r="F76">
            <v>0.92349999999999999</v>
          </cell>
          <cell r="G76">
            <v>1</v>
          </cell>
          <cell r="H76">
            <v>0.92349999999999999</v>
          </cell>
          <cell r="I76">
            <v>1.2391000000000001</v>
          </cell>
          <cell r="J76">
            <v>1</v>
          </cell>
          <cell r="K76">
            <v>0</v>
          </cell>
          <cell r="L76">
            <v>0</v>
          </cell>
          <cell r="M76">
            <v>0</v>
          </cell>
        </row>
        <row r="77">
          <cell r="A77">
            <v>40432</v>
          </cell>
          <cell r="B77">
            <v>3.3915999999999999</v>
          </cell>
          <cell r="C77">
            <v>1</v>
          </cell>
          <cell r="D77">
            <v>28.48</v>
          </cell>
          <cell r="E77">
            <v>6.6654</v>
          </cell>
          <cell r="F77">
            <v>0.92349999999999999</v>
          </cell>
          <cell r="G77">
            <v>1</v>
          </cell>
          <cell r="H77">
            <v>0.92349999999999999</v>
          </cell>
          <cell r="I77">
            <v>1.2391000000000001</v>
          </cell>
          <cell r="J77">
            <v>1</v>
          </cell>
          <cell r="K77">
            <v>0</v>
          </cell>
          <cell r="L77">
            <v>0</v>
          </cell>
          <cell r="M77">
            <v>0</v>
          </cell>
        </row>
        <row r="78">
          <cell r="A78">
            <v>40433</v>
          </cell>
          <cell r="B78">
            <v>3.3915999999999999</v>
          </cell>
          <cell r="C78">
            <v>1</v>
          </cell>
          <cell r="D78">
            <v>28.48</v>
          </cell>
          <cell r="E78">
            <v>6.6654</v>
          </cell>
          <cell r="F78">
            <v>0.92349999999999999</v>
          </cell>
          <cell r="G78">
            <v>1</v>
          </cell>
          <cell r="H78">
            <v>0.92349999999999999</v>
          </cell>
          <cell r="I78">
            <v>1.2391000000000001</v>
          </cell>
          <cell r="J78">
            <v>1</v>
          </cell>
          <cell r="K78">
            <v>0</v>
          </cell>
          <cell r="L78">
            <v>0</v>
          </cell>
          <cell r="M78">
            <v>0</v>
          </cell>
        </row>
        <row r="79">
          <cell r="A79">
            <v>40434</v>
          </cell>
          <cell r="B79">
            <v>3.4146999999999998</v>
          </cell>
          <cell r="C79">
            <v>1</v>
          </cell>
          <cell r="D79">
            <v>28.59</v>
          </cell>
          <cell r="E79">
            <v>6.6566000000000001</v>
          </cell>
          <cell r="F79">
            <v>0.92979999999999996</v>
          </cell>
          <cell r="G79">
            <v>1</v>
          </cell>
          <cell r="H79">
            <v>0.92979999999999996</v>
          </cell>
          <cell r="I79">
            <v>1.2450000000000001</v>
          </cell>
          <cell r="J79">
            <v>1</v>
          </cell>
          <cell r="K79">
            <v>0</v>
          </cell>
          <cell r="L79">
            <v>0</v>
          </cell>
          <cell r="M79">
            <v>0</v>
          </cell>
        </row>
        <row r="80">
          <cell r="A80">
            <v>40435</v>
          </cell>
          <cell r="B80">
            <v>3.4268000000000001</v>
          </cell>
          <cell r="C80">
            <v>1</v>
          </cell>
          <cell r="D80">
            <v>28.7</v>
          </cell>
          <cell r="E80">
            <v>6.6623000000000001</v>
          </cell>
          <cell r="F80">
            <v>0.93310000000000004</v>
          </cell>
          <cell r="G80">
            <v>1</v>
          </cell>
          <cell r="H80">
            <v>0.93310000000000004</v>
          </cell>
          <cell r="I80">
            <v>1.2476</v>
          </cell>
          <cell r="J80">
            <v>1</v>
          </cell>
          <cell r="K80">
            <v>0</v>
          </cell>
          <cell r="L80">
            <v>0</v>
          </cell>
          <cell r="M80">
            <v>0</v>
          </cell>
        </row>
        <row r="81">
          <cell r="A81">
            <v>40436</v>
          </cell>
          <cell r="B81">
            <v>3.4441000000000002</v>
          </cell>
          <cell r="C81">
            <v>1</v>
          </cell>
          <cell r="D81">
            <v>28.94</v>
          </cell>
          <cell r="E81">
            <v>6.6525999999999996</v>
          </cell>
          <cell r="F81">
            <v>0.93779999999999997</v>
          </cell>
          <cell r="G81">
            <v>1</v>
          </cell>
          <cell r="H81">
            <v>0.93779999999999997</v>
          </cell>
          <cell r="I81">
            <v>1.2536</v>
          </cell>
          <cell r="J81">
            <v>1</v>
          </cell>
          <cell r="K81">
            <v>0</v>
          </cell>
          <cell r="L81">
            <v>0</v>
          </cell>
          <cell r="M81">
            <v>0</v>
          </cell>
        </row>
        <row r="82">
          <cell r="A82">
            <v>40437</v>
          </cell>
          <cell r="B82">
            <v>3.4300999999999999</v>
          </cell>
          <cell r="C82">
            <v>1</v>
          </cell>
          <cell r="D82">
            <v>28.89</v>
          </cell>
          <cell r="E82">
            <v>6.6436999999999999</v>
          </cell>
          <cell r="F82">
            <v>0.93400000000000005</v>
          </cell>
          <cell r="G82">
            <v>1</v>
          </cell>
          <cell r="H82">
            <v>0.93400000000000005</v>
          </cell>
          <cell r="I82">
            <v>1.2501</v>
          </cell>
          <cell r="J82">
            <v>1</v>
          </cell>
          <cell r="K82">
            <v>0</v>
          </cell>
          <cell r="L82">
            <v>0</v>
          </cell>
          <cell r="M82">
            <v>0</v>
          </cell>
        </row>
        <row r="83">
          <cell r="A83">
            <v>40438</v>
          </cell>
          <cell r="B83">
            <v>3.4698000000000002</v>
          </cell>
          <cell r="C83">
            <v>1</v>
          </cell>
          <cell r="D83">
            <v>29.06</v>
          </cell>
          <cell r="E83">
            <v>6.7272999999999996</v>
          </cell>
          <cell r="F83">
            <v>0.94479999999999997</v>
          </cell>
          <cell r="G83">
            <v>1</v>
          </cell>
          <cell r="H83">
            <v>0.94479999999999997</v>
          </cell>
          <cell r="I83">
            <v>1.2605999999999999</v>
          </cell>
          <cell r="J83">
            <v>1</v>
          </cell>
          <cell r="K83">
            <v>0</v>
          </cell>
          <cell r="L83">
            <v>0</v>
          </cell>
          <cell r="M83">
            <v>0</v>
          </cell>
        </row>
        <row r="84">
          <cell r="A84">
            <v>40439</v>
          </cell>
          <cell r="B84">
            <v>3.4698000000000002</v>
          </cell>
          <cell r="C84">
            <v>1</v>
          </cell>
          <cell r="D84">
            <v>29.06</v>
          </cell>
          <cell r="E84">
            <v>6.7272999999999996</v>
          </cell>
          <cell r="F84">
            <v>0.94479999999999997</v>
          </cell>
          <cell r="G84">
            <v>1</v>
          </cell>
          <cell r="H84">
            <v>0.94479999999999997</v>
          </cell>
          <cell r="I84">
            <v>1.2605999999999999</v>
          </cell>
          <cell r="J84">
            <v>1</v>
          </cell>
          <cell r="K84">
            <v>0</v>
          </cell>
          <cell r="L84">
            <v>0</v>
          </cell>
          <cell r="M84">
            <v>0</v>
          </cell>
        </row>
        <row r="85">
          <cell r="A85">
            <v>40440</v>
          </cell>
          <cell r="B85">
            <v>3.4698000000000002</v>
          </cell>
          <cell r="C85">
            <v>1</v>
          </cell>
          <cell r="D85">
            <v>29.06</v>
          </cell>
          <cell r="E85">
            <v>6.7272999999999996</v>
          </cell>
          <cell r="F85">
            <v>0.94479999999999997</v>
          </cell>
          <cell r="G85">
            <v>1</v>
          </cell>
          <cell r="H85">
            <v>0.94479999999999997</v>
          </cell>
          <cell r="I85">
            <v>1.2605999999999999</v>
          </cell>
          <cell r="J85">
            <v>1</v>
          </cell>
          <cell r="K85">
            <v>0</v>
          </cell>
          <cell r="L85">
            <v>0</v>
          </cell>
          <cell r="M85">
            <v>0</v>
          </cell>
        </row>
        <row r="86">
          <cell r="A86">
            <v>40441</v>
          </cell>
          <cell r="B86">
            <v>3.4683000000000002</v>
          </cell>
          <cell r="C86">
            <v>1</v>
          </cell>
          <cell r="D86">
            <v>29.03</v>
          </cell>
          <cell r="E86">
            <v>6.7336</v>
          </cell>
          <cell r="F86">
            <v>0.94440000000000002</v>
          </cell>
          <cell r="G86">
            <v>1</v>
          </cell>
          <cell r="H86">
            <v>0.94440000000000002</v>
          </cell>
          <cell r="I86">
            <v>1.2603</v>
          </cell>
          <cell r="J86">
            <v>1</v>
          </cell>
          <cell r="K86">
            <v>0</v>
          </cell>
          <cell r="L86">
            <v>0</v>
          </cell>
          <cell r="M86">
            <v>0</v>
          </cell>
        </row>
        <row r="87">
          <cell r="A87">
            <v>40442</v>
          </cell>
          <cell r="B87">
            <v>3.4727000000000001</v>
          </cell>
          <cell r="C87">
            <v>1</v>
          </cell>
          <cell r="D87">
            <v>29.09</v>
          </cell>
          <cell r="E87">
            <v>6.7279999999999998</v>
          </cell>
          <cell r="F87">
            <v>0.9456</v>
          </cell>
          <cell r="G87">
            <v>1</v>
          </cell>
          <cell r="H87">
            <v>0.9456</v>
          </cell>
          <cell r="I87">
            <v>1.2608999999999999</v>
          </cell>
          <cell r="J87">
            <v>1</v>
          </cell>
          <cell r="K87">
            <v>0</v>
          </cell>
          <cell r="L87">
            <v>0</v>
          </cell>
          <cell r="M87">
            <v>0</v>
          </cell>
        </row>
        <row r="88">
          <cell r="A88">
            <v>40443</v>
          </cell>
          <cell r="B88">
            <v>3.5105</v>
          </cell>
          <cell r="C88">
            <v>1</v>
          </cell>
          <cell r="D88">
            <v>29.31</v>
          </cell>
          <cell r="E88">
            <v>6.7458</v>
          </cell>
          <cell r="F88">
            <v>0.95589999999999997</v>
          </cell>
          <cell r="G88">
            <v>1</v>
          </cell>
          <cell r="H88">
            <v>0.95589999999999997</v>
          </cell>
          <cell r="I88">
            <v>1.2692999999999999</v>
          </cell>
          <cell r="J88">
            <v>1</v>
          </cell>
          <cell r="K88">
            <v>0</v>
          </cell>
          <cell r="L88">
            <v>0</v>
          </cell>
          <cell r="M88">
            <v>0</v>
          </cell>
        </row>
        <row r="89">
          <cell r="A89">
            <v>40444</v>
          </cell>
          <cell r="B89">
            <v>3.5137999999999998</v>
          </cell>
          <cell r="C89">
            <v>1</v>
          </cell>
          <cell r="D89">
            <v>29.35</v>
          </cell>
          <cell r="E89">
            <v>6.7341999999999995</v>
          </cell>
          <cell r="F89">
            <v>0.95679999999999998</v>
          </cell>
          <cell r="G89">
            <v>1</v>
          </cell>
          <cell r="H89">
            <v>0.95679999999999998</v>
          </cell>
          <cell r="I89">
            <v>1.2688999999999999</v>
          </cell>
          <cell r="J89">
            <v>1</v>
          </cell>
          <cell r="K89">
            <v>0</v>
          </cell>
          <cell r="L89">
            <v>0</v>
          </cell>
          <cell r="M89">
            <v>0</v>
          </cell>
        </row>
        <row r="90">
          <cell r="A90">
            <v>40445</v>
          </cell>
          <cell r="B90">
            <v>3.4903</v>
          </cell>
          <cell r="C90">
            <v>1</v>
          </cell>
          <cell r="D90">
            <v>29.26</v>
          </cell>
          <cell r="E90">
            <v>6.7251000000000003</v>
          </cell>
          <cell r="F90">
            <v>0.95040000000000002</v>
          </cell>
          <cell r="G90">
            <v>1</v>
          </cell>
          <cell r="H90">
            <v>0.95040000000000002</v>
          </cell>
          <cell r="I90">
            <v>1.2627999999999999</v>
          </cell>
          <cell r="J90">
            <v>1</v>
          </cell>
          <cell r="K90">
            <v>0</v>
          </cell>
          <cell r="L90">
            <v>0</v>
          </cell>
          <cell r="M90">
            <v>0</v>
          </cell>
        </row>
        <row r="91">
          <cell r="A91">
            <v>40446</v>
          </cell>
          <cell r="B91">
            <v>3.4903</v>
          </cell>
          <cell r="C91">
            <v>1</v>
          </cell>
          <cell r="D91">
            <v>29.26</v>
          </cell>
          <cell r="E91">
            <v>6.7251000000000003</v>
          </cell>
          <cell r="F91">
            <v>0.95040000000000002</v>
          </cell>
          <cell r="G91">
            <v>1</v>
          </cell>
          <cell r="H91">
            <v>0.95040000000000002</v>
          </cell>
          <cell r="I91">
            <v>1.2627999999999999</v>
          </cell>
          <cell r="J91">
            <v>1</v>
          </cell>
          <cell r="K91">
            <v>0</v>
          </cell>
          <cell r="L91">
            <v>0</v>
          </cell>
          <cell r="M91">
            <v>0</v>
          </cell>
        </row>
        <row r="92">
          <cell r="A92">
            <v>40447</v>
          </cell>
          <cell r="B92">
            <v>3.4903</v>
          </cell>
          <cell r="C92">
            <v>1</v>
          </cell>
          <cell r="D92">
            <v>29.26</v>
          </cell>
          <cell r="E92">
            <v>6.7251000000000003</v>
          </cell>
          <cell r="F92">
            <v>0.95040000000000002</v>
          </cell>
          <cell r="G92">
            <v>1</v>
          </cell>
          <cell r="H92">
            <v>0.95040000000000002</v>
          </cell>
          <cell r="I92">
            <v>1.2627999999999999</v>
          </cell>
          <cell r="J92">
            <v>1</v>
          </cell>
          <cell r="K92">
            <v>0</v>
          </cell>
          <cell r="L92">
            <v>0</v>
          </cell>
          <cell r="M92">
            <v>0</v>
          </cell>
        </row>
        <row r="93">
          <cell r="A93">
            <v>40448</v>
          </cell>
          <cell r="B93">
            <v>3.5186000000000002</v>
          </cell>
          <cell r="C93">
            <v>1</v>
          </cell>
          <cell r="D93">
            <v>29.29</v>
          </cell>
          <cell r="E93">
            <v>6.7271999999999998</v>
          </cell>
          <cell r="F93">
            <v>0.95809999999999995</v>
          </cell>
          <cell r="G93">
            <v>1</v>
          </cell>
          <cell r="H93">
            <v>0.95809999999999995</v>
          </cell>
          <cell r="I93">
            <v>1.2669000000000001</v>
          </cell>
          <cell r="J93">
            <v>1</v>
          </cell>
          <cell r="K93">
            <v>0</v>
          </cell>
          <cell r="L93">
            <v>0</v>
          </cell>
          <cell r="M93">
            <v>0</v>
          </cell>
        </row>
        <row r="94">
          <cell r="A94">
            <v>40449</v>
          </cell>
          <cell r="B94">
            <v>3.5215999999999998</v>
          </cell>
          <cell r="C94">
            <v>1</v>
          </cell>
          <cell r="D94">
            <v>29.32</v>
          </cell>
          <cell r="E94">
            <v>6.7310999999999996</v>
          </cell>
          <cell r="F94">
            <v>0.95889999999999997</v>
          </cell>
          <cell r="G94">
            <v>1</v>
          </cell>
          <cell r="H94">
            <v>0.95889999999999997</v>
          </cell>
          <cell r="I94">
            <v>1.2678</v>
          </cell>
          <cell r="J94">
            <v>1</v>
          </cell>
          <cell r="K94">
            <v>0</v>
          </cell>
          <cell r="L94">
            <v>0</v>
          </cell>
          <cell r="M94">
            <v>0</v>
          </cell>
        </row>
        <row r="95">
          <cell r="A95">
            <v>40450</v>
          </cell>
          <cell r="B95">
            <v>3.5531000000000001</v>
          </cell>
          <cell r="C95">
            <v>1</v>
          </cell>
          <cell r="D95">
            <v>29.49</v>
          </cell>
          <cell r="E95">
            <v>6.7241</v>
          </cell>
          <cell r="F95">
            <v>0.96750000000000003</v>
          </cell>
          <cell r="G95">
            <v>1</v>
          </cell>
          <cell r="H95">
            <v>0.96750000000000003</v>
          </cell>
          <cell r="I95">
            <v>1.2748999999999999</v>
          </cell>
          <cell r="J95">
            <v>1</v>
          </cell>
          <cell r="K95">
            <v>0</v>
          </cell>
          <cell r="L95">
            <v>0</v>
          </cell>
          <cell r="M95">
            <v>0</v>
          </cell>
        </row>
        <row r="96">
          <cell r="A96">
            <v>40451</v>
          </cell>
          <cell r="B96">
            <v>3.5502000000000002</v>
          </cell>
          <cell r="C96">
            <v>1</v>
          </cell>
          <cell r="D96">
            <v>29.4</v>
          </cell>
          <cell r="E96">
            <v>6.7426000000000004</v>
          </cell>
          <cell r="F96">
            <v>0.9667</v>
          </cell>
          <cell r="G96">
            <v>1</v>
          </cell>
          <cell r="H96">
            <v>0.9667</v>
          </cell>
          <cell r="I96">
            <v>1.2732000000000001</v>
          </cell>
          <cell r="J96">
            <v>1</v>
          </cell>
          <cell r="K96">
            <v>0</v>
          </cell>
          <cell r="L96">
            <v>0</v>
          </cell>
          <cell r="M96">
            <v>0</v>
          </cell>
        </row>
        <row r="97">
          <cell r="A97">
            <v>40452</v>
          </cell>
          <cell r="B97">
            <v>3.5465</v>
          </cell>
          <cell r="C97">
            <v>1</v>
          </cell>
          <cell r="D97">
            <v>29.19</v>
          </cell>
          <cell r="E97">
            <v>6.7290000000000001</v>
          </cell>
          <cell r="F97">
            <v>0.9657</v>
          </cell>
          <cell r="G97">
            <v>1</v>
          </cell>
          <cell r="H97">
            <v>0.9657</v>
          </cell>
          <cell r="I97">
            <v>1.2703</v>
          </cell>
          <cell r="J97">
            <v>1</v>
          </cell>
          <cell r="K97">
            <v>0</v>
          </cell>
          <cell r="L97">
            <v>0</v>
          </cell>
          <cell r="M97">
            <v>0</v>
          </cell>
        </row>
        <row r="98">
          <cell r="A98">
            <v>40453</v>
          </cell>
          <cell r="B98">
            <v>3.5465</v>
          </cell>
          <cell r="C98">
            <v>1</v>
          </cell>
          <cell r="D98">
            <v>29.19</v>
          </cell>
          <cell r="E98">
            <v>6.7290000000000001</v>
          </cell>
          <cell r="F98">
            <v>0.9657</v>
          </cell>
          <cell r="G98">
            <v>1</v>
          </cell>
          <cell r="H98">
            <v>0.9657</v>
          </cell>
          <cell r="I98">
            <v>1.2703</v>
          </cell>
          <cell r="J98">
            <v>1</v>
          </cell>
          <cell r="K98">
            <v>0</v>
          </cell>
          <cell r="L98">
            <v>0</v>
          </cell>
          <cell r="M98">
            <v>0</v>
          </cell>
        </row>
        <row r="99">
          <cell r="A99">
            <v>40454</v>
          </cell>
          <cell r="B99">
            <v>3.5465</v>
          </cell>
          <cell r="C99">
            <v>1</v>
          </cell>
          <cell r="D99">
            <v>29.19</v>
          </cell>
          <cell r="E99">
            <v>6.7290000000000001</v>
          </cell>
          <cell r="F99">
            <v>0.9657</v>
          </cell>
          <cell r="G99">
            <v>1</v>
          </cell>
          <cell r="H99">
            <v>0.9657</v>
          </cell>
          <cell r="I99">
            <v>1.2703</v>
          </cell>
          <cell r="J99">
            <v>1</v>
          </cell>
          <cell r="K99">
            <v>0</v>
          </cell>
          <cell r="L99">
            <v>0</v>
          </cell>
          <cell r="M99">
            <v>0</v>
          </cell>
        </row>
        <row r="100">
          <cell r="A100">
            <v>40455</v>
          </cell>
          <cell r="B100">
            <v>3.5465</v>
          </cell>
          <cell r="C100">
            <v>1</v>
          </cell>
          <cell r="D100">
            <v>29.19</v>
          </cell>
          <cell r="E100">
            <v>6.7290000000000001</v>
          </cell>
          <cell r="F100">
            <v>0.9657</v>
          </cell>
          <cell r="G100">
            <v>1</v>
          </cell>
          <cell r="H100">
            <v>0.9657</v>
          </cell>
          <cell r="I100">
            <v>1.2703</v>
          </cell>
          <cell r="J100">
            <v>1</v>
          </cell>
          <cell r="K100">
            <v>0</v>
          </cell>
          <cell r="L100">
            <v>0</v>
          </cell>
          <cell r="M100">
            <v>0</v>
          </cell>
        </row>
        <row r="101">
          <cell r="A101">
            <v>40456</v>
          </cell>
          <cell r="B101">
            <v>3.5205000000000002</v>
          </cell>
          <cell r="C101">
            <v>1</v>
          </cell>
          <cell r="D101">
            <v>28.96</v>
          </cell>
          <cell r="E101">
            <v>6.7278000000000002</v>
          </cell>
          <cell r="F101">
            <v>0.95860000000000001</v>
          </cell>
          <cell r="G101">
            <v>1</v>
          </cell>
          <cell r="H101">
            <v>0.95860000000000001</v>
          </cell>
          <cell r="I101">
            <v>1.2623</v>
          </cell>
          <cell r="J101">
            <v>1</v>
          </cell>
          <cell r="K101">
            <v>0</v>
          </cell>
          <cell r="L101">
            <v>0</v>
          </cell>
          <cell r="M101">
            <v>0</v>
          </cell>
        </row>
        <row r="102">
          <cell r="A102">
            <v>40457</v>
          </cell>
          <cell r="B102">
            <v>3.5663999999999998</v>
          </cell>
          <cell r="C102">
            <v>1</v>
          </cell>
          <cell r="D102">
            <v>29.1</v>
          </cell>
          <cell r="E102">
            <v>6.6985999999999999</v>
          </cell>
          <cell r="F102">
            <v>0.97109999999999996</v>
          </cell>
          <cell r="G102">
            <v>1</v>
          </cell>
          <cell r="H102">
            <v>0.97109999999999996</v>
          </cell>
          <cell r="I102">
            <v>1.2724</v>
          </cell>
          <cell r="J102">
            <v>1</v>
          </cell>
          <cell r="K102">
            <v>0</v>
          </cell>
          <cell r="L102">
            <v>0</v>
          </cell>
          <cell r="M102">
            <v>0</v>
          </cell>
        </row>
        <row r="103">
          <cell r="A103">
            <v>40458</v>
          </cell>
          <cell r="B103">
            <v>3.6108000000000002</v>
          </cell>
          <cell r="C103">
            <v>1</v>
          </cell>
          <cell r="D103">
            <v>29.38</v>
          </cell>
          <cell r="E103">
            <v>6.7351000000000001</v>
          </cell>
          <cell r="F103">
            <v>0.98319999999999996</v>
          </cell>
          <cell r="G103">
            <v>1</v>
          </cell>
          <cell r="H103">
            <v>0.98319999999999996</v>
          </cell>
          <cell r="I103">
            <v>1.2863</v>
          </cell>
          <cell r="J103">
            <v>1</v>
          </cell>
          <cell r="K103">
            <v>0</v>
          </cell>
          <cell r="L103">
            <v>0</v>
          </cell>
          <cell r="M103">
            <v>0</v>
          </cell>
        </row>
        <row r="104">
          <cell r="A104">
            <v>40459</v>
          </cell>
          <cell r="B104">
            <v>3.6118999999999999</v>
          </cell>
          <cell r="C104">
            <v>1</v>
          </cell>
          <cell r="D104">
            <v>29.47</v>
          </cell>
          <cell r="E104">
            <v>6.7664999999999997</v>
          </cell>
          <cell r="F104">
            <v>0.98350000000000004</v>
          </cell>
          <cell r="G104">
            <v>1</v>
          </cell>
          <cell r="H104">
            <v>0.98350000000000004</v>
          </cell>
          <cell r="I104">
            <v>1.2833999999999999</v>
          </cell>
          <cell r="J104">
            <v>1</v>
          </cell>
          <cell r="K104">
            <v>0</v>
          </cell>
          <cell r="L104">
            <v>0</v>
          </cell>
          <cell r="M104">
            <v>0</v>
          </cell>
        </row>
        <row r="105">
          <cell r="A105">
            <v>40460</v>
          </cell>
          <cell r="B105">
            <v>3.6118999999999999</v>
          </cell>
          <cell r="C105">
            <v>1</v>
          </cell>
          <cell r="D105">
            <v>29.47</v>
          </cell>
          <cell r="E105">
            <v>6.7664999999999997</v>
          </cell>
          <cell r="F105">
            <v>0.98350000000000004</v>
          </cell>
          <cell r="G105">
            <v>1</v>
          </cell>
          <cell r="H105">
            <v>0.98350000000000004</v>
          </cell>
          <cell r="I105">
            <v>1.2833999999999999</v>
          </cell>
          <cell r="J105">
            <v>1</v>
          </cell>
          <cell r="K105">
            <v>0</v>
          </cell>
          <cell r="L105">
            <v>0</v>
          </cell>
          <cell r="M105">
            <v>0</v>
          </cell>
        </row>
        <row r="106">
          <cell r="A106">
            <v>40461</v>
          </cell>
          <cell r="B106">
            <v>3.6118999999999999</v>
          </cell>
          <cell r="C106">
            <v>1</v>
          </cell>
          <cell r="D106">
            <v>29.47</v>
          </cell>
          <cell r="E106">
            <v>6.7664999999999997</v>
          </cell>
          <cell r="F106">
            <v>0.98350000000000004</v>
          </cell>
          <cell r="G106">
            <v>1</v>
          </cell>
          <cell r="H106">
            <v>0.98350000000000004</v>
          </cell>
          <cell r="I106">
            <v>1.2833999999999999</v>
          </cell>
          <cell r="J106">
            <v>1</v>
          </cell>
          <cell r="K106">
            <v>0</v>
          </cell>
          <cell r="L106">
            <v>0</v>
          </cell>
          <cell r="M106">
            <v>0</v>
          </cell>
        </row>
        <row r="107">
          <cell r="A107">
            <v>40462</v>
          </cell>
          <cell r="B107">
            <v>3.6233</v>
          </cell>
          <cell r="C107">
            <v>1</v>
          </cell>
          <cell r="D107">
            <v>29.65</v>
          </cell>
          <cell r="E107">
            <v>6.7488999999999999</v>
          </cell>
          <cell r="F107">
            <v>0.98660000000000003</v>
          </cell>
          <cell r="G107">
            <v>1</v>
          </cell>
          <cell r="H107">
            <v>0.98660000000000003</v>
          </cell>
          <cell r="I107">
            <v>1.2878000000000001</v>
          </cell>
          <cell r="J107">
            <v>1</v>
          </cell>
          <cell r="K107">
            <v>0</v>
          </cell>
          <cell r="L107">
            <v>0</v>
          </cell>
          <cell r="M107">
            <v>0</v>
          </cell>
        </row>
        <row r="108">
          <cell r="A108">
            <v>40463</v>
          </cell>
          <cell r="B108">
            <v>3.5939000000000001</v>
          </cell>
          <cell r="C108">
            <v>1</v>
          </cell>
          <cell r="D108">
            <v>29.44</v>
          </cell>
          <cell r="E108">
            <v>6.7388000000000003</v>
          </cell>
          <cell r="F108">
            <v>0.97860000000000003</v>
          </cell>
          <cell r="G108">
            <v>1</v>
          </cell>
          <cell r="H108">
            <v>0.97860000000000003</v>
          </cell>
          <cell r="I108">
            <v>1.2806999999999999</v>
          </cell>
          <cell r="J108">
            <v>1</v>
          </cell>
          <cell r="K108">
            <v>0</v>
          </cell>
          <cell r="L108">
            <v>0</v>
          </cell>
          <cell r="M108">
            <v>0</v>
          </cell>
        </row>
        <row r="109">
          <cell r="A109">
            <v>40464</v>
          </cell>
          <cell r="B109">
            <v>3.6236999999999999</v>
          </cell>
          <cell r="C109">
            <v>1</v>
          </cell>
          <cell r="D109">
            <v>29.43</v>
          </cell>
          <cell r="E109">
            <v>6.7565</v>
          </cell>
          <cell r="F109">
            <v>0.98670000000000002</v>
          </cell>
          <cell r="G109">
            <v>1</v>
          </cell>
          <cell r="H109">
            <v>0.98670000000000002</v>
          </cell>
          <cell r="I109">
            <v>1.2875000000000001</v>
          </cell>
          <cell r="J109">
            <v>1</v>
          </cell>
          <cell r="K109">
            <v>0</v>
          </cell>
          <cell r="L109">
            <v>0</v>
          </cell>
          <cell r="M109">
            <v>0</v>
          </cell>
        </row>
        <row r="110">
          <cell r="A110">
            <v>40465</v>
          </cell>
          <cell r="B110">
            <v>3.6541000000000001</v>
          </cell>
          <cell r="C110">
            <v>1</v>
          </cell>
          <cell r="D110">
            <v>29.71</v>
          </cell>
          <cell r="E110">
            <v>6.7611999999999997</v>
          </cell>
          <cell r="F110">
            <v>0.995</v>
          </cell>
          <cell r="G110">
            <v>1</v>
          </cell>
          <cell r="H110">
            <v>0.995</v>
          </cell>
          <cell r="I110">
            <v>1.2883</v>
          </cell>
          <cell r="J110">
            <v>1</v>
          </cell>
          <cell r="K110">
            <v>0</v>
          </cell>
          <cell r="L110">
            <v>0</v>
          </cell>
          <cell r="M110">
            <v>0</v>
          </cell>
        </row>
        <row r="111">
          <cell r="A111">
            <v>40466</v>
          </cell>
          <cell r="B111">
            <v>3.6409000000000002</v>
          </cell>
          <cell r="C111">
            <v>1</v>
          </cell>
          <cell r="D111">
            <v>29.57</v>
          </cell>
          <cell r="E111">
            <v>6.7397</v>
          </cell>
          <cell r="F111">
            <v>0.99139999999999995</v>
          </cell>
          <cell r="G111">
            <v>1</v>
          </cell>
          <cell r="H111">
            <v>0.99139999999999995</v>
          </cell>
          <cell r="I111">
            <v>1.2866</v>
          </cell>
          <cell r="J111">
            <v>1</v>
          </cell>
          <cell r="K111">
            <v>0</v>
          </cell>
          <cell r="L111">
            <v>0</v>
          </cell>
          <cell r="M111">
            <v>0</v>
          </cell>
        </row>
        <row r="112">
          <cell r="A112">
            <v>40467</v>
          </cell>
          <cell r="B112">
            <v>3.6409000000000002</v>
          </cell>
          <cell r="C112">
            <v>1</v>
          </cell>
          <cell r="D112">
            <v>29.57</v>
          </cell>
          <cell r="E112">
            <v>6.7397</v>
          </cell>
          <cell r="F112">
            <v>0.99139999999999995</v>
          </cell>
          <cell r="G112">
            <v>1</v>
          </cell>
          <cell r="H112">
            <v>0.99139999999999995</v>
          </cell>
          <cell r="I112">
            <v>1.2866</v>
          </cell>
          <cell r="J112">
            <v>1</v>
          </cell>
          <cell r="K112">
            <v>0</v>
          </cell>
          <cell r="L112">
            <v>0</v>
          </cell>
          <cell r="M112">
            <v>0</v>
          </cell>
        </row>
        <row r="113">
          <cell r="A113">
            <v>40468</v>
          </cell>
          <cell r="B113">
            <v>3.6409000000000002</v>
          </cell>
          <cell r="C113">
            <v>1</v>
          </cell>
          <cell r="D113">
            <v>29.57</v>
          </cell>
          <cell r="E113">
            <v>6.7397</v>
          </cell>
          <cell r="F113">
            <v>0.99139999999999995</v>
          </cell>
          <cell r="G113">
            <v>1</v>
          </cell>
          <cell r="H113">
            <v>0.99139999999999995</v>
          </cell>
          <cell r="I113">
            <v>1.2866</v>
          </cell>
          <cell r="J113">
            <v>1</v>
          </cell>
          <cell r="K113">
            <v>0</v>
          </cell>
          <cell r="L113">
            <v>0</v>
          </cell>
          <cell r="M113">
            <v>0</v>
          </cell>
        </row>
        <row r="114">
          <cell r="A114">
            <v>40469</v>
          </cell>
          <cell r="B114">
            <v>3.6189</v>
          </cell>
          <cell r="C114">
            <v>1</v>
          </cell>
          <cell r="D114">
            <v>29.46</v>
          </cell>
          <cell r="E114">
            <v>6.7689000000000004</v>
          </cell>
          <cell r="F114">
            <v>0.98540000000000005</v>
          </cell>
          <cell r="G114">
            <v>1</v>
          </cell>
          <cell r="H114">
            <v>0.98540000000000005</v>
          </cell>
          <cell r="I114">
            <v>1.2863</v>
          </cell>
          <cell r="J114">
            <v>1</v>
          </cell>
          <cell r="K114">
            <v>0</v>
          </cell>
          <cell r="L114">
            <v>0</v>
          </cell>
          <cell r="M114">
            <v>0</v>
          </cell>
        </row>
        <row r="115">
          <cell r="A115">
            <v>40470</v>
          </cell>
          <cell r="B115">
            <v>3.6240000000000001</v>
          </cell>
          <cell r="C115">
            <v>1</v>
          </cell>
          <cell r="D115">
            <v>29.53</v>
          </cell>
          <cell r="E115">
            <v>6.7991000000000001</v>
          </cell>
          <cell r="F115">
            <v>0.98680000000000001</v>
          </cell>
          <cell r="G115">
            <v>1</v>
          </cell>
          <cell r="H115">
            <v>0.98680000000000001</v>
          </cell>
          <cell r="I115">
            <v>1.2871000000000001</v>
          </cell>
          <cell r="J115">
            <v>1</v>
          </cell>
          <cell r="K115">
            <v>0</v>
          </cell>
          <cell r="L115">
            <v>0</v>
          </cell>
          <cell r="M115">
            <v>0</v>
          </cell>
        </row>
        <row r="116">
          <cell r="A116">
            <v>40471</v>
          </cell>
          <cell r="B116">
            <v>3.5832999999999999</v>
          </cell>
          <cell r="C116">
            <v>1</v>
          </cell>
          <cell r="D116">
            <v>29.24</v>
          </cell>
          <cell r="E116">
            <v>6.7835999999999999</v>
          </cell>
          <cell r="F116">
            <v>0.97570000000000001</v>
          </cell>
          <cell r="G116">
            <v>1</v>
          </cell>
          <cell r="H116">
            <v>0.97570000000000001</v>
          </cell>
          <cell r="I116">
            <v>1.2766999999999999</v>
          </cell>
          <cell r="J116">
            <v>1</v>
          </cell>
          <cell r="K116">
            <v>0</v>
          </cell>
          <cell r="L116">
            <v>0</v>
          </cell>
          <cell r="M116">
            <v>0</v>
          </cell>
        </row>
        <row r="117">
          <cell r="A117">
            <v>40472</v>
          </cell>
          <cell r="B117">
            <v>3.6071</v>
          </cell>
          <cell r="C117">
            <v>1</v>
          </cell>
          <cell r="D117">
            <v>29.33</v>
          </cell>
          <cell r="E117">
            <v>6.8318000000000003</v>
          </cell>
          <cell r="F117">
            <v>0.98219999999999996</v>
          </cell>
          <cell r="G117">
            <v>1</v>
          </cell>
          <cell r="H117">
            <v>0.98219999999999996</v>
          </cell>
          <cell r="I117">
            <v>1.2793999999999999</v>
          </cell>
          <cell r="J117">
            <v>1</v>
          </cell>
          <cell r="K117">
            <v>0</v>
          </cell>
          <cell r="L117">
            <v>0</v>
          </cell>
          <cell r="M117">
            <v>0</v>
          </cell>
        </row>
        <row r="118">
          <cell r="A118">
            <v>40473</v>
          </cell>
          <cell r="B118">
            <v>3.6118999999999999</v>
          </cell>
          <cell r="C118">
            <v>1</v>
          </cell>
          <cell r="D118">
            <v>29.4</v>
          </cell>
          <cell r="E118">
            <v>6.8414999999999999</v>
          </cell>
          <cell r="F118">
            <v>0.98350000000000004</v>
          </cell>
          <cell r="G118">
            <v>1</v>
          </cell>
          <cell r="H118">
            <v>0.98350000000000004</v>
          </cell>
          <cell r="I118">
            <v>1.2812000000000001</v>
          </cell>
          <cell r="J118">
            <v>1</v>
          </cell>
          <cell r="K118">
            <v>0</v>
          </cell>
          <cell r="L118">
            <v>0</v>
          </cell>
          <cell r="M118">
            <v>0</v>
          </cell>
        </row>
        <row r="119">
          <cell r="A119">
            <v>40474</v>
          </cell>
          <cell r="B119">
            <v>3.6118999999999999</v>
          </cell>
          <cell r="C119">
            <v>1</v>
          </cell>
          <cell r="D119">
            <v>29.4</v>
          </cell>
          <cell r="E119">
            <v>6.8414999999999999</v>
          </cell>
          <cell r="F119">
            <v>0.98350000000000004</v>
          </cell>
          <cell r="G119">
            <v>1</v>
          </cell>
          <cell r="H119">
            <v>0.98350000000000004</v>
          </cell>
          <cell r="I119">
            <v>1.2812000000000001</v>
          </cell>
          <cell r="J119">
            <v>1</v>
          </cell>
          <cell r="K119">
            <v>0</v>
          </cell>
          <cell r="L119">
            <v>0</v>
          </cell>
          <cell r="M119">
            <v>0</v>
          </cell>
        </row>
        <row r="120">
          <cell r="A120">
            <v>40475</v>
          </cell>
          <cell r="B120">
            <v>3.6118999999999999</v>
          </cell>
          <cell r="C120">
            <v>1</v>
          </cell>
          <cell r="D120">
            <v>29.4</v>
          </cell>
          <cell r="E120">
            <v>6.8414999999999999</v>
          </cell>
          <cell r="F120">
            <v>0.98350000000000004</v>
          </cell>
          <cell r="G120">
            <v>1</v>
          </cell>
          <cell r="H120">
            <v>0.98350000000000004</v>
          </cell>
          <cell r="I120">
            <v>1.2812000000000001</v>
          </cell>
          <cell r="J120">
            <v>1</v>
          </cell>
          <cell r="K120">
            <v>0</v>
          </cell>
          <cell r="L120">
            <v>0</v>
          </cell>
          <cell r="M120">
            <v>0</v>
          </cell>
        </row>
        <row r="121">
          <cell r="A121">
            <v>40476</v>
          </cell>
          <cell r="B121">
            <v>3.6482999999999999</v>
          </cell>
          <cell r="C121">
            <v>1</v>
          </cell>
          <cell r="D121">
            <v>29.66</v>
          </cell>
          <cell r="E121">
            <v>6.8425000000000002</v>
          </cell>
          <cell r="F121">
            <v>0.99339999999999995</v>
          </cell>
          <cell r="G121">
            <v>1</v>
          </cell>
          <cell r="H121">
            <v>0.99339999999999995</v>
          </cell>
          <cell r="I121">
            <v>1.2857000000000001</v>
          </cell>
          <cell r="J121">
            <v>1</v>
          </cell>
          <cell r="K121">
            <v>0</v>
          </cell>
          <cell r="L121">
            <v>0</v>
          </cell>
          <cell r="M121">
            <v>0</v>
          </cell>
        </row>
        <row r="122">
          <cell r="A122">
            <v>40477</v>
          </cell>
          <cell r="B122">
            <v>3.6391</v>
          </cell>
          <cell r="C122">
            <v>1</v>
          </cell>
          <cell r="D122">
            <v>29.61</v>
          </cell>
          <cell r="E122">
            <v>6.8543000000000003</v>
          </cell>
          <cell r="F122">
            <v>0.9909</v>
          </cell>
          <cell r="G122">
            <v>1</v>
          </cell>
          <cell r="H122">
            <v>0.9909</v>
          </cell>
          <cell r="I122">
            <v>1.2818000000000001</v>
          </cell>
          <cell r="J122">
            <v>1</v>
          </cell>
          <cell r="K122">
            <v>0</v>
          </cell>
          <cell r="L122">
            <v>0</v>
          </cell>
          <cell r="M122">
            <v>0</v>
          </cell>
        </row>
        <row r="123">
          <cell r="A123">
            <v>40478</v>
          </cell>
          <cell r="B123">
            <v>3.5766</v>
          </cell>
          <cell r="C123">
            <v>1</v>
          </cell>
          <cell r="D123">
            <v>29.2</v>
          </cell>
          <cell r="E123">
            <v>6.7885999999999997</v>
          </cell>
          <cell r="F123">
            <v>0.97389999999999999</v>
          </cell>
          <cell r="G123">
            <v>1</v>
          </cell>
          <cell r="H123">
            <v>0.97389999999999999</v>
          </cell>
          <cell r="I123">
            <v>1.2679</v>
          </cell>
          <cell r="J123">
            <v>1</v>
          </cell>
          <cell r="K123">
            <v>0</v>
          </cell>
          <cell r="L123">
            <v>0</v>
          </cell>
          <cell r="M123">
            <v>0</v>
          </cell>
        </row>
        <row r="124">
          <cell r="A124">
            <v>40479</v>
          </cell>
          <cell r="B124">
            <v>3.5825</v>
          </cell>
          <cell r="C124">
            <v>1</v>
          </cell>
          <cell r="D124">
            <v>29.24</v>
          </cell>
          <cell r="E124">
            <v>6.87</v>
          </cell>
          <cell r="F124">
            <v>0.97550000000000003</v>
          </cell>
          <cell r="G124">
            <v>1</v>
          </cell>
          <cell r="H124">
            <v>0.97550000000000003</v>
          </cell>
          <cell r="I124">
            <v>1.2673000000000001</v>
          </cell>
          <cell r="J124">
            <v>1</v>
          </cell>
          <cell r="K124">
            <v>0</v>
          </cell>
          <cell r="L124">
            <v>0</v>
          </cell>
          <cell r="M124">
            <v>0</v>
          </cell>
        </row>
        <row r="125">
          <cell r="A125">
            <v>40480</v>
          </cell>
          <cell r="B125">
            <v>3.5846999999999998</v>
          </cell>
          <cell r="C125">
            <v>1</v>
          </cell>
          <cell r="D125">
            <v>29.25</v>
          </cell>
          <cell r="E125">
            <v>6.8541999999999996</v>
          </cell>
          <cell r="F125">
            <v>0.97609999999999997</v>
          </cell>
          <cell r="G125">
            <v>1</v>
          </cell>
          <cell r="H125">
            <v>0.97609999999999997</v>
          </cell>
          <cell r="I125">
            <v>1.2678</v>
          </cell>
          <cell r="J125">
            <v>1</v>
          </cell>
          <cell r="K125">
            <v>0</v>
          </cell>
          <cell r="L125">
            <v>0</v>
          </cell>
          <cell r="M125">
            <v>0</v>
          </cell>
        </row>
        <row r="126">
          <cell r="A126">
            <v>40481</v>
          </cell>
          <cell r="B126">
            <v>3.5846999999999998</v>
          </cell>
          <cell r="C126">
            <v>1</v>
          </cell>
          <cell r="D126">
            <v>29.25</v>
          </cell>
          <cell r="E126">
            <v>6.8541999999999996</v>
          </cell>
          <cell r="F126">
            <v>0.97609999999999997</v>
          </cell>
          <cell r="G126">
            <v>1</v>
          </cell>
          <cell r="H126">
            <v>0.97609999999999997</v>
          </cell>
          <cell r="I126">
            <v>1.2678</v>
          </cell>
          <cell r="J126">
            <v>1</v>
          </cell>
          <cell r="K126">
            <v>0</v>
          </cell>
          <cell r="L126">
            <v>0</v>
          </cell>
          <cell r="M126">
            <v>0</v>
          </cell>
        </row>
        <row r="127">
          <cell r="A127">
            <v>40482</v>
          </cell>
          <cell r="B127">
            <v>3.5846999999999998</v>
          </cell>
          <cell r="C127">
            <v>1</v>
          </cell>
          <cell r="D127">
            <v>29.25</v>
          </cell>
          <cell r="E127">
            <v>6.8541999999999996</v>
          </cell>
          <cell r="F127">
            <v>0.97609999999999997</v>
          </cell>
          <cell r="G127">
            <v>1</v>
          </cell>
          <cell r="H127">
            <v>0.97609999999999997</v>
          </cell>
          <cell r="I127">
            <v>1.2678</v>
          </cell>
          <cell r="J127">
            <v>1</v>
          </cell>
          <cell r="K127">
            <v>0</v>
          </cell>
          <cell r="L127">
            <v>0</v>
          </cell>
          <cell r="M127">
            <v>0</v>
          </cell>
        </row>
        <row r="128">
          <cell r="A128">
            <v>40483</v>
          </cell>
          <cell r="B128">
            <v>3.6288</v>
          </cell>
          <cell r="C128">
            <v>1</v>
          </cell>
          <cell r="D128">
            <v>29.52</v>
          </cell>
          <cell r="E128">
            <v>6.8845999999999998</v>
          </cell>
          <cell r="F128">
            <v>0.98809999999999998</v>
          </cell>
          <cell r="G128">
            <v>1</v>
          </cell>
          <cell r="H128">
            <v>0.98809999999999998</v>
          </cell>
          <cell r="I128">
            <v>1.2748999999999999</v>
          </cell>
          <cell r="J128">
            <v>1</v>
          </cell>
          <cell r="K128">
            <v>0</v>
          </cell>
          <cell r="L128">
            <v>0</v>
          </cell>
          <cell r="M128">
            <v>0</v>
          </cell>
        </row>
        <row r="129">
          <cell r="A129">
            <v>40484</v>
          </cell>
          <cell r="B129">
            <v>3.6630000000000003</v>
          </cell>
          <cell r="C129">
            <v>1</v>
          </cell>
          <cell r="D129">
            <v>29.77</v>
          </cell>
          <cell r="E129">
            <v>6.9558999999999997</v>
          </cell>
          <cell r="F129">
            <v>0.99739999999999995</v>
          </cell>
          <cell r="G129">
            <v>1</v>
          </cell>
          <cell r="H129">
            <v>0.99739999999999995</v>
          </cell>
          <cell r="I129">
            <v>1.2850999999999999</v>
          </cell>
          <cell r="J129">
            <v>1</v>
          </cell>
          <cell r="K129">
            <v>0</v>
          </cell>
          <cell r="L129">
            <v>0</v>
          </cell>
          <cell r="M129">
            <v>0</v>
          </cell>
        </row>
        <row r="130">
          <cell r="A130">
            <v>40485</v>
          </cell>
          <cell r="B130">
            <v>3.6625999999999999</v>
          </cell>
          <cell r="C130">
            <v>1</v>
          </cell>
          <cell r="D130">
            <v>29.68</v>
          </cell>
          <cell r="E130">
            <v>6.8792</v>
          </cell>
          <cell r="F130">
            <v>0.99729999999999996</v>
          </cell>
          <cell r="G130">
            <v>1</v>
          </cell>
          <cell r="H130">
            <v>0.99729999999999996</v>
          </cell>
          <cell r="I130">
            <v>1.2852000000000001</v>
          </cell>
          <cell r="J130">
            <v>1</v>
          </cell>
          <cell r="K130">
            <v>0</v>
          </cell>
          <cell r="L130">
            <v>0</v>
          </cell>
          <cell r="M130">
            <v>0</v>
          </cell>
        </row>
        <row r="131">
          <cell r="A131">
            <v>40486</v>
          </cell>
          <cell r="B131">
            <v>3.6941999999999999</v>
          </cell>
          <cell r="C131">
            <v>1</v>
          </cell>
          <cell r="D131">
            <v>29.88</v>
          </cell>
          <cell r="E131">
            <v>6.9155999999999995</v>
          </cell>
          <cell r="F131">
            <v>1.0059</v>
          </cell>
          <cell r="G131">
            <v>1</v>
          </cell>
          <cell r="H131">
            <v>1.0059</v>
          </cell>
          <cell r="I131">
            <v>1.2924</v>
          </cell>
          <cell r="J131">
            <v>1</v>
          </cell>
          <cell r="K131">
            <v>0</v>
          </cell>
          <cell r="L131">
            <v>0</v>
          </cell>
          <cell r="M131">
            <v>0</v>
          </cell>
        </row>
        <row r="132">
          <cell r="A132">
            <v>40487</v>
          </cell>
          <cell r="B132">
            <v>3.7286999999999999</v>
          </cell>
          <cell r="C132">
            <v>1</v>
          </cell>
          <cell r="D132">
            <v>30.09</v>
          </cell>
          <cell r="E132">
            <v>6.9190000000000005</v>
          </cell>
          <cell r="F132">
            <v>1.0153000000000001</v>
          </cell>
          <cell r="G132">
            <v>1</v>
          </cell>
          <cell r="H132">
            <v>1.0153000000000001</v>
          </cell>
          <cell r="I132">
            <v>1.3026</v>
          </cell>
          <cell r="J132">
            <v>1</v>
          </cell>
          <cell r="K132">
            <v>0</v>
          </cell>
          <cell r="L132">
            <v>0</v>
          </cell>
          <cell r="M132">
            <v>0</v>
          </cell>
        </row>
        <row r="133">
          <cell r="A133">
            <v>40488</v>
          </cell>
          <cell r="B133">
            <v>3.7286999999999999</v>
          </cell>
          <cell r="C133">
            <v>1</v>
          </cell>
          <cell r="D133">
            <v>30.09</v>
          </cell>
          <cell r="E133">
            <v>6.9190000000000005</v>
          </cell>
          <cell r="F133">
            <v>1.0153000000000001</v>
          </cell>
          <cell r="G133">
            <v>1</v>
          </cell>
          <cell r="H133">
            <v>1.0153000000000001</v>
          </cell>
          <cell r="I133">
            <v>1.3026</v>
          </cell>
          <cell r="J133">
            <v>1</v>
          </cell>
          <cell r="K133">
            <v>0</v>
          </cell>
          <cell r="L133">
            <v>0</v>
          </cell>
          <cell r="M133">
            <v>0</v>
          </cell>
        </row>
        <row r="134">
          <cell r="A134">
            <v>40489</v>
          </cell>
          <cell r="B134">
            <v>3.7286999999999999</v>
          </cell>
          <cell r="C134">
            <v>1</v>
          </cell>
          <cell r="D134">
            <v>30.09</v>
          </cell>
          <cell r="E134">
            <v>6.9190000000000005</v>
          </cell>
          <cell r="F134">
            <v>1.0153000000000001</v>
          </cell>
          <cell r="G134">
            <v>1</v>
          </cell>
          <cell r="H134">
            <v>1.0153000000000001</v>
          </cell>
          <cell r="I134">
            <v>1.3026</v>
          </cell>
          <cell r="J134">
            <v>1</v>
          </cell>
          <cell r="K134">
            <v>0</v>
          </cell>
          <cell r="L134">
            <v>0</v>
          </cell>
          <cell r="M134">
            <v>0</v>
          </cell>
        </row>
        <row r="135">
          <cell r="A135">
            <v>40490</v>
          </cell>
          <cell r="B135">
            <v>3.7210000000000001</v>
          </cell>
          <cell r="C135">
            <v>1</v>
          </cell>
          <cell r="D135">
            <v>30.05</v>
          </cell>
          <cell r="E135">
            <v>6.9142000000000001</v>
          </cell>
          <cell r="F135">
            <v>1.0132000000000001</v>
          </cell>
          <cell r="G135">
            <v>1</v>
          </cell>
          <cell r="H135">
            <v>1.0132000000000001</v>
          </cell>
          <cell r="I135">
            <v>1.3029999999999999</v>
          </cell>
          <cell r="J135">
            <v>1</v>
          </cell>
          <cell r="K135">
            <v>0</v>
          </cell>
          <cell r="L135">
            <v>0</v>
          </cell>
          <cell r="M135">
            <v>0</v>
          </cell>
        </row>
        <row r="136">
          <cell r="A136">
            <v>40491</v>
          </cell>
          <cell r="B136">
            <v>3.7147000000000001</v>
          </cell>
          <cell r="C136">
            <v>1</v>
          </cell>
          <cell r="D136">
            <v>29.9</v>
          </cell>
          <cell r="E136">
            <v>6.9489999999999998</v>
          </cell>
          <cell r="F136">
            <v>1.0115000000000001</v>
          </cell>
          <cell r="G136">
            <v>1</v>
          </cell>
          <cell r="H136">
            <v>1.0115000000000001</v>
          </cell>
          <cell r="I136">
            <v>1.3012999999999999</v>
          </cell>
          <cell r="J136">
            <v>1</v>
          </cell>
          <cell r="K136">
            <v>0</v>
          </cell>
          <cell r="L136">
            <v>0</v>
          </cell>
          <cell r="M136">
            <v>0</v>
          </cell>
        </row>
        <row r="137">
          <cell r="A137">
            <v>40492</v>
          </cell>
          <cell r="B137">
            <v>3.6865000000000001</v>
          </cell>
          <cell r="C137">
            <v>1</v>
          </cell>
          <cell r="D137">
            <v>29.7</v>
          </cell>
          <cell r="E137">
            <v>6.9147999999999996</v>
          </cell>
          <cell r="F137">
            <v>1.0038</v>
          </cell>
          <cell r="G137">
            <v>1</v>
          </cell>
          <cell r="H137">
            <v>1.0038</v>
          </cell>
          <cell r="I137">
            <v>1.2926</v>
          </cell>
          <cell r="J137">
            <v>1</v>
          </cell>
          <cell r="K137">
            <v>0</v>
          </cell>
          <cell r="L137">
            <v>0</v>
          </cell>
          <cell r="M137">
            <v>0</v>
          </cell>
        </row>
        <row r="138">
          <cell r="A138">
            <v>40493</v>
          </cell>
          <cell r="B138">
            <v>3.6890000000000001</v>
          </cell>
          <cell r="C138">
            <v>1</v>
          </cell>
          <cell r="D138">
            <v>29.7</v>
          </cell>
          <cell r="E138">
            <v>6.9124999999999996</v>
          </cell>
          <cell r="F138">
            <v>1.0044999999999999</v>
          </cell>
          <cell r="G138">
            <v>1</v>
          </cell>
          <cell r="H138">
            <v>1.0044999999999999</v>
          </cell>
          <cell r="I138">
            <v>1.2919</v>
          </cell>
          <cell r="J138">
            <v>1</v>
          </cell>
          <cell r="K138">
            <v>0</v>
          </cell>
          <cell r="L138">
            <v>0</v>
          </cell>
          <cell r="M138">
            <v>0</v>
          </cell>
        </row>
        <row r="139">
          <cell r="A139">
            <v>40494</v>
          </cell>
          <cell r="B139">
            <v>3.6486000000000001</v>
          </cell>
          <cell r="C139">
            <v>1</v>
          </cell>
          <cell r="D139">
            <v>29.6</v>
          </cell>
          <cell r="E139">
            <v>6.9188999999999998</v>
          </cell>
          <cell r="F139">
            <v>0.99350000000000005</v>
          </cell>
          <cell r="G139">
            <v>1</v>
          </cell>
          <cell r="H139">
            <v>0.99350000000000005</v>
          </cell>
          <cell r="I139">
            <v>1.2867</v>
          </cell>
          <cell r="J139">
            <v>1</v>
          </cell>
          <cell r="K139">
            <v>0</v>
          </cell>
          <cell r="L139">
            <v>0</v>
          </cell>
          <cell r="M139">
            <v>0</v>
          </cell>
        </row>
        <row r="140">
          <cell r="A140">
            <v>40495</v>
          </cell>
          <cell r="B140">
            <v>3.6486000000000001</v>
          </cell>
          <cell r="C140">
            <v>1</v>
          </cell>
          <cell r="D140">
            <v>29.6</v>
          </cell>
          <cell r="E140">
            <v>6.9188999999999998</v>
          </cell>
          <cell r="F140">
            <v>0.99350000000000005</v>
          </cell>
          <cell r="G140">
            <v>1</v>
          </cell>
          <cell r="H140">
            <v>0.99350000000000005</v>
          </cell>
          <cell r="I140">
            <v>1.2867</v>
          </cell>
          <cell r="J140">
            <v>1</v>
          </cell>
          <cell r="K140">
            <v>0</v>
          </cell>
          <cell r="L140">
            <v>0</v>
          </cell>
          <cell r="M140">
            <v>0</v>
          </cell>
        </row>
        <row r="141">
          <cell r="A141">
            <v>40496</v>
          </cell>
          <cell r="B141">
            <v>3.6486000000000001</v>
          </cell>
          <cell r="C141">
            <v>1</v>
          </cell>
          <cell r="D141">
            <v>29.6</v>
          </cell>
          <cell r="E141">
            <v>6.9188999999999998</v>
          </cell>
          <cell r="F141">
            <v>0.99350000000000005</v>
          </cell>
          <cell r="G141">
            <v>1</v>
          </cell>
          <cell r="H141">
            <v>0.99350000000000005</v>
          </cell>
          <cell r="I141">
            <v>1.2867</v>
          </cell>
          <cell r="J141">
            <v>1</v>
          </cell>
          <cell r="K141">
            <v>0</v>
          </cell>
          <cell r="L141">
            <v>0</v>
          </cell>
          <cell r="M141">
            <v>0</v>
          </cell>
        </row>
        <row r="142">
          <cell r="A142">
            <v>40497</v>
          </cell>
          <cell r="B142">
            <v>3.6192000000000002</v>
          </cell>
          <cell r="C142">
            <v>1</v>
          </cell>
          <cell r="D142">
            <v>29.55</v>
          </cell>
          <cell r="E142">
            <v>6.8723999999999998</v>
          </cell>
          <cell r="F142">
            <v>0.98550000000000004</v>
          </cell>
          <cell r="G142">
            <v>1</v>
          </cell>
          <cell r="H142">
            <v>0.98550000000000004</v>
          </cell>
          <cell r="I142">
            <v>1.2845</v>
          </cell>
          <cell r="J142">
            <v>1</v>
          </cell>
          <cell r="K142">
            <v>0</v>
          </cell>
          <cell r="L142">
            <v>0</v>
          </cell>
          <cell r="M142">
            <v>0</v>
          </cell>
        </row>
        <row r="143">
          <cell r="A143">
            <v>40498</v>
          </cell>
          <cell r="B143">
            <v>3.6226000000000003</v>
          </cell>
          <cell r="C143">
            <v>1</v>
          </cell>
          <cell r="D143">
            <v>29.45</v>
          </cell>
          <cell r="E143">
            <v>6.8776999999999999</v>
          </cell>
          <cell r="F143">
            <v>0.98640000000000005</v>
          </cell>
          <cell r="G143">
            <v>1</v>
          </cell>
          <cell r="H143">
            <v>0.98640000000000005</v>
          </cell>
          <cell r="I143">
            <v>1.2812999999999999</v>
          </cell>
          <cell r="J143">
            <v>1</v>
          </cell>
          <cell r="K143">
            <v>0</v>
          </cell>
          <cell r="L143">
            <v>0</v>
          </cell>
          <cell r="M143">
            <v>0</v>
          </cell>
        </row>
        <row r="144">
          <cell r="A144">
            <v>40499</v>
          </cell>
          <cell r="B144">
            <v>3.5855000000000001</v>
          </cell>
          <cell r="C144">
            <v>1</v>
          </cell>
          <cell r="D144">
            <v>29.28</v>
          </cell>
          <cell r="E144">
            <v>6.8771000000000004</v>
          </cell>
          <cell r="F144">
            <v>0.97629999999999995</v>
          </cell>
          <cell r="G144">
            <v>1</v>
          </cell>
          <cell r="H144">
            <v>0.97629999999999995</v>
          </cell>
          <cell r="I144">
            <v>1.2730000000000001</v>
          </cell>
          <cell r="J144">
            <v>1</v>
          </cell>
          <cell r="K144">
            <v>0</v>
          </cell>
          <cell r="L144">
            <v>0</v>
          </cell>
          <cell r="M144">
            <v>0</v>
          </cell>
        </row>
        <row r="145">
          <cell r="A145">
            <v>40500</v>
          </cell>
          <cell r="B145">
            <v>3.6151999999999997</v>
          </cell>
          <cell r="C145">
            <v>1</v>
          </cell>
          <cell r="D145">
            <v>29.51</v>
          </cell>
          <cell r="E145">
            <v>6.9055999999999997</v>
          </cell>
          <cell r="F145">
            <v>0.98440000000000005</v>
          </cell>
          <cell r="G145">
            <v>1</v>
          </cell>
          <cell r="H145">
            <v>0.98440000000000005</v>
          </cell>
          <cell r="I145">
            <v>1.2787999999999999</v>
          </cell>
          <cell r="J145">
            <v>1</v>
          </cell>
          <cell r="K145">
            <v>0</v>
          </cell>
          <cell r="L145">
            <v>0</v>
          </cell>
          <cell r="M145">
            <v>0</v>
          </cell>
        </row>
        <row r="146">
          <cell r="A146">
            <v>40501</v>
          </cell>
          <cell r="B146">
            <v>3.62</v>
          </cell>
          <cell r="C146">
            <v>1</v>
          </cell>
          <cell r="D146">
            <v>29.51</v>
          </cell>
          <cell r="E146">
            <v>6.8776999999999999</v>
          </cell>
          <cell r="F146">
            <v>0.98570000000000002</v>
          </cell>
          <cell r="G146">
            <v>1</v>
          </cell>
          <cell r="H146">
            <v>0.98570000000000002</v>
          </cell>
          <cell r="I146">
            <v>1.2798</v>
          </cell>
          <cell r="J146">
            <v>1</v>
          </cell>
          <cell r="K146">
            <v>0</v>
          </cell>
          <cell r="L146">
            <v>0</v>
          </cell>
          <cell r="M146">
            <v>0</v>
          </cell>
        </row>
        <row r="147">
          <cell r="A147">
            <v>40502</v>
          </cell>
          <cell r="B147">
            <v>3.62</v>
          </cell>
          <cell r="C147">
            <v>1</v>
          </cell>
          <cell r="D147">
            <v>29.51</v>
          </cell>
          <cell r="E147">
            <v>6.8776999999999999</v>
          </cell>
          <cell r="F147">
            <v>0.98570000000000002</v>
          </cell>
          <cell r="G147">
            <v>1</v>
          </cell>
          <cell r="H147">
            <v>0.98570000000000002</v>
          </cell>
          <cell r="I147">
            <v>1.2798</v>
          </cell>
          <cell r="J147">
            <v>1</v>
          </cell>
          <cell r="K147">
            <v>0</v>
          </cell>
          <cell r="L147">
            <v>0</v>
          </cell>
          <cell r="M147">
            <v>0</v>
          </cell>
        </row>
        <row r="148">
          <cell r="A148">
            <v>40503</v>
          </cell>
          <cell r="B148">
            <v>3.62</v>
          </cell>
          <cell r="C148">
            <v>1</v>
          </cell>
          <cell r="D148">
            <v>29.51</v>
          </cell>
          <cell r="E148">
            <v>6.8776999999999999</v>
          </cell>
          <cell r="F148">
            <v>0.98570000000000002</v>
          </cell>
          <cell r="G148">
            <v>1</v>
          </cell>
          <cell r="H148">
            <v>0.98570000000000002</v>
          </cell>
          <cell r="I148">
            <v>1.2798</v>
          </cell>
          <cell r="J148">
            <v>1</v>
          </cell>
          <cell r="K148">
            <v>0</v>
          </cell>
          <cell r="L148">
            <v>0</v>
          </cell>
          <cell r="M148">
            <v>0</v>
          </cell>
        </row>
        <row r="149">
          <cell r="A149">
            <v>40504</v>
          </cell>
          <cell r="B149">
            <v>3.6467999999999998</v>
          </cell>
          <cell r="C149">
            <v>1</v>
          </cell>
          <cell r="D149">
            <v>29.71</v>
          </cell>
          <cell r="E149">
            <v>6.9124999999999996</v>
          </cell>
          <cell r="F149">
            <v>0.99299999999999999</v>
          </cell>
          <cell r="G149">
            <v>1</v>
          </cell>
          <cell r="H149">
            <v>0.99299999999999999</v>
          </cell>
          <cell r="I149">
            <v>1.2847</v>
          </cell>
          <cell r="J149">
            <v>1</v>
          </cell>
          <cell r="K149">
            <v>0</v>
          </cell>
          <cell r="L149">
            <v>0</v>
          </cell>
          <cell r="M149">
            <v>0</v>
          </cell>
        </row>
        <row r="150">
          <cell r="A150">
            <v>40505</v>
          </cell>
          <cell r="B150">
            <v>3.6189</v>
          </cell>
          <cell r="C150">
            <v>1</v>
          </cell>
          <cell r="D150">
            <v>29.61</v>
          </cell>
          <cell r="E150">
            <v>6.9077000000000002</v>
          </cell>
          <cell r="F150">
            <v>0.98540000000000005</v>
          </cell>
          <cell r="G150">
            <v>1</v>
          </cell>
          <cell r="H150">
            <v>0.98540000000000005</v>
          </cell>
          <cell r="I150">
            <v>1.2829999999999999</v>
          </cell>
          <cell r="J150">
            <v>1</v>
          </cell>
          <cell r="K150">
            <v>0</v>
          </cell>
          <cell r="L150">
            <v>0</v>
          </cell>
          <cell r="M150">
            <v>0</v>
          </cell>
        </row>
        <row r="151">
          <cell r="A151">
            <v>40506</v>
          </cell>
          <cell r="B151">
            <v>3.5950000000000002</v>
          </cell>
          <cell r="C151">
            <v>1</v>
          </cell>
          <cell r="D151">
            <v>29.45</v>
          </cell>
          <cell r="E151">
            <v>6.9409000000000001</v>
          </cell>
          <cell r="F151">
            <v>0.97889999999999999</v>
          </cell>
          <cell r="G151">
            <v>1</v>
          </cell>
          <cell r="H151">
            <v>0.97889999999999999</v>
          </cell>
          <cell r="I151">
            <v>1.2836000000000001</v>
          </cell>
          <cell r="J151">
            <v>1</v>
          </cell>
          <cell r="K151">
            <v>0</v>
          </cell>
          <cell r="L151">
            <v>0</v>
          </cell>
          <cell r="M151">
            <v>0</v>
          </cell>
        </row>
        <row r="152">
          <cell r="A152">
            <v>40507</v>
          </cell>
          <cell r="B152">
            <v>3.5935000000000001</v>
          </cell>
          <cell r="C152">
            <v>1</v>
          </cell>
          <cell r="D152">
            <v>29.41</v>
          </cell>
          <cell r="E152">
            <v>6.9253</v>
          </cell>
          <cell r="F152">
            <v>0.97850000000000004</v>
          </cell>
          <cell r="G152">
            <v>1</v>
          </cell>
          <cell r="H152">
            <v>0.97850000000000004</v>
          </cell>
          <cell r="I152">
            <v>1.2812000000000001</v>
          </cell>
          <cell r="J152">
            <v>1</v>
          </cell>
          <cell r="K152">
            <v>0</v>
          </cell>
          <cell r="L152">
            <v>0</v>
          </cell>
          <cell r="M152">
            <v>0</v>
          </cell>
        </row>
        <row r="153">
          <cell r="A153">
            <v>40508</v>
          </cell>
          <cell r="B153">
            <v>3.5752000000000002</v>
          </cell>
          <cell r="C153">
            <v>1</v>
          </cell>
          <cell r="D153">
            <v>29.35</v>
          </cell>
          <cell r="E153">
            <v>6.8710000000000004</v>
          </cell>
          <cell r="F153">
            <v>0.97350000000000003</v>
          </cell>
          <cell r="G153">
            <v>1</v>
          </cell>
          <cell r="H153">
            <v>0.97350000000000003</v>
          </cell>
          <cell r="I153">
            <v>1.2775000000000001</v>
          </cell>
          <cell r="J153">
            <v>1</v>
          </cell>
          <cell r="K153">
            <v>0</v>
          </cell>
          <cell r="L153">
            <v>0</v>
          </cell>
          <cell r="M153">
            <v>0</v>
          </cell>
        </row>
        <row r="154">
          <cell r="A154">
            <v>40509</v>
          </cell>
          <cell r="B154">
            <v>3.5752000000000002</v>
          </cell>
          <cell r="C154">
            <v>1</v>
          </cell>
          <cell r="D154">
            <v>29.35</v>
          </cell>
          <cell r="E154">
            <v>6.8710000000000004</v>
          </cell>
          <cell r="F154">
            <v>0.97350000000000003</v>
          </cell>
          <cell r="G154">
            <v>1</v>
          </cell>
          <cell r="H154">
            <v>0.97350000000000003</v>
          </cell>
          <cell r="I154">
            <v>1.2775000000000001</v>
          </cell>
          <cell r="J154">
            <v>1</v>
          </cell>
          <cell r="K154">
            <v>0</v>
          </cell>
          <cell r="L154">
            <v>0</v>
          </cell>
          <cell r="M154">
            <v>0</v>
          </cell>
        </row>
        <row r="155">
          <cell r="A155">
            <v>40510</v>
          </cell>
          <cell r="B155">
            <v>3.5752000000000002</v>
          </cell>
          <cell r="C155">
            <v>1</v>
          </cell>
          <cell r="D155">
            <v>29.35</v>
          </cell>
          <cell r="E155">
            <v>6.8710000000000004</v>
          </cell>
          <cell r="F155">
            <v>0.97350000000000003</v>
          </cell>
          <cell r="G155">
            <v>1</v>
          </cell>
          <cell r="H155">
            <v>0.97350000000000003</v>
          </cell>
          <cell r="I155">
            <v>1.2775000000000001</v>
          </cell>
          <cell r="J155">
            <v>1</v>
          </cell>
          <cell r="K155">
            <v>0</v>
          </cell>
          <cell r="L155">
            <v>0</v>
          </cell>
          <cell r="M155">
            <v>0</v>
          </cell>
        </row>
        <row r="156">
          <cell r="A156">
            <v>40511</v>
          </cell>
          <cell r="B156">
            <v>3.5381</v>
          </cell>
          <cell r="C156">
            <v>1</v>
          </cell>
          <cell r="D156">
            <v>29.15</v>
          </cell>
          <cell r="E156">
            <v>6.8593999999999999</v>
          </cell>
          <cell r="F156">
            <v>0.96340000000000003</v>
          </cell>
          <cell r="G156">
            <v>1</v>
          </cell>
          <cell r="H156">
            <v>0.96340000000000003</v>
          </cell>
          <cell r="I156">
            <v>1.2694000000000001</v>
          </cell>
          <cell r="J156">
            <v>1</v>
          </cell>
          <cell r="K156">
            <v>0</v>
          </cell>
          <cell r="L156">
            <v>0</v>
          </cell>
          <cell r="M156">
            <v>0</v>
          </cell>
        </row>
        <row r="157">
          <cell r="A157">
            <v>40512</v>
          </cell>
          <cell r="B157">
            <v>3.5322</v>
          </cell>
          <cell r="C157">
            <v>1</v>
          </cell>
          <cell r="D157">
            <v>29.11</v>
          </cell>
          <cell r="E157">
            <v>6.8780000000000001</v>
          </cell>
          <cell r="F157">
            <v>0.96179999999999999</v>
          </cell>
          <cell r="G157">
            <v>1</v>
          </cell>
          <cell r="H157">
            <v>0.96179999999999999</v>
          </cell>
          <cell r="I157">
            <v>1.2690999999999999</v>
          </cell>
          <cell r="J157">
            <v>1</v>
          </cell>
          <cell r="K157">
            <v>0</v>
          </cell>
          <cell r="L157">
            <v>0</v>
          </cell>
          <cell r="M157">
            <v>0</v>
          </cell>
        </row>
        <row r="158">
          <cell r="A158">
            <v>40513</v>
          </cell>
          <cell r="B158">
            <v>3.5148999999999999</v>
          </cell>
          <cell r="C158">
            <v>1</v>
          </cell>
          <cell r="D158">
            <v>28.82</v>
          </cell>
          <cell r="E158">
            <v>6.7920999999999996</v>
          </cell>
          <cell r="F158">
            <v>0.95709999999999995</v>
          </cell>
          <cell r="G158">
            <v>1</v>
          </cell>
          <cell r="H158">
            <v>0.95709999999999995</v>
          </cell>
          <cell r="I158">
            <v>1.2618</v>
          </cell>
          <cell r="J158">
            <v>1</v>
          </cell>
          <cell r="K158">
            <v>0</v>
          </cell>
          <cell r="L158">
            <v>0</v>
          </cell>
          <cell r="M158">
            <v>0</v>
          </cell>
        </row>
        <row r="159">
          <cell r="A159">
            <v>40514</v>
          </cell>
          <cell r="B159">
            <v>3.5399000000000003</v>
          </cell>
          <cell r="C159">
            <v>1</v>
          </cell>
          <cell r="D159">
            <v>28.94</v>
          </cell>
          <cell r="E159">
            <v>6.7775999999999996</v>
          </cell>
          <cell r="F159">
            <v>0.96389999999999998</v>
          </cell>
          <cell r="G159">
            <v>1</v>
          </cell>
          <cell r="H159">
            <v>0.96389999999999998</v>
          </cell>
          <cell r="I159">
            <v>1.2669000000000001</v>
          </cell>
          <cell r="J159">
            <v>1</v>
          </cell>
          <cell r="K159">
            <v>0</v>
          </cell>
          <cell r="L159">
            <v>0</v>
          </cell>
          <cell r="M159">
            <v>0</v>
          </cell>
        </row>
        <row r="160">
          <cell r="A160">
            <v>40515</v>
          </cell>
          <cell r="B160">
            <v>3.5836000000000001</v>
          </cell>
          <cell r="C160">
            <v>1</v>
          </cell>
          <cell r="D160">
            <v>29.31</v>
          </cell>
          <cell r="E160">
            <v>6.7427999999999999</v>
          </cell>
          <cell r="F160">
            <v>0.9758</v>
          </cell>
          <cell r="G160">
            <v>1</v>
          </cell>
          <cell r="H160">
            <v>0.9758</v>
          </cell>
          <cell r="I160">
            <v>1.2777000000000001</v>
          </cell>
          <cell r="J160">
            <v>1</v>
          </cell>
          <cell r="K160">
            <v>0</v>
          </cell>
          <cell r="L160">
            <v>0</v>
          </cell>
          <cell r="M160">
            <v>0</v>
          </cell>
        </row>
        <row r="161">
          <cell r="A161">
            <v>40516</v>
          </cell>
          <cell r="B161">
            <v>3.5836000000000001</v>
          </cell>
          <cell r="C161">
            <v>1</v>
          </cell>
          <cell r="D161">
            <v>29.31</v>
          </cell>
          <cell r="E161">
            <v>6.7427999999999999</v>
          </cell>
          <cell r="F161">
            <v>0.9758</v>
          </cell>
          <cell r="G161">
            <v>1</v>
          </cell>
          <cell r="H161">
            <v>0.9758</v>
          </cell>
          <cell r="I161">
            <v>1.2777000000000001</v>
          </cell>
          <cell r="J161">
            <v>1</v>
          </cell>
          <cell r="K161">
            <v>0</v>
          </cell>
          <cell r="L161">
            <v>0</v>
          </cell>
          <cell r="M161">
            <v>0</v>
          </cell>
        </row>
        <row r="162">
          <cell r="A162">
            <v>40517</v>
          </cell>
          <cell r="B162">
            <v>3.5836000000000001</v>
          </cell>
          <cell r="C162">
            <v>1</v>
          </cell>
          <cell r="D162">
            <v>29.31</v>
          </cell>
          <cell r="E162">
            <v>6.7427999999999999</v>
          </cell>
          <cell r="F162">
            <v>0.9758</v>
          </cell>
          <cell r="G162">
            <v>1</v>
          </cell>
          <cell r="H162">
            <v>0.9758</v>
          </cell>
          <cell r="I162">
            <v>1.2777000000000001</v>
          </cell>
          <cell r="J162">
            <v>1</v>
          </cell>
          <cell r="K162">
            <v>0</v>
          </cell>
          <cell r="L162">
            <v>0</v>
          </cell>
          <cell r="M162">
            <v>0</v>
          </cell>
        </row>
        <row r="163">
          <cell r="A163">
            <v>40518</v>
          </cell>
          <cell r="B163">
            <v>3.6273</v>
          </cell>
          <cell r="C163">
            <v>1</v>
          </cell>
          <cell r="D163">
            <v>29.64</v>
          </cell>
          <cell r="E163">
            <v>6.7953999999999999</v>
          </cell>
          <cell r="F163">
            <v>0.98770000000000002</v>
          </cell>
          <cell r="G163">
            <v>1</v>
          </cell>
          <cell r="H163">
            <v>0.98770000000000002</v>
          </cell>
          <cell r="I163">
            <v>1.2873999999999999</v>
          </cell>
          <cell r="J163">
            <v>1</v>
          </cell>
          <cell r="K163">
            <v>0</v>
          </cell>
          <cell r="L163">
            <v>0</v>
          </cell>
          <cell r="M163">
            <v>0</v>
          </cell>
        </row>
        <row r="164">
          <cell r="A164">
            <v>40519</v>
          </cell>
          <cell r="B164">
            <v>3.6372</v>
          </cell>
          <cell r="C164">
            <v>1</v>
          </cell>
          <cell r="D164">
            <v>29.71</v>
          </cell>
          <cell r="E164">
            <v>6.8253000000000004</v>
          </cell>
          <cell r="F164">
            <v>0.99039999999999995</v>
          </cell>
          <cell r="G164">
            <v>1</v>
          </cell>
          <cell r="H164">
            <v>0.99039999999999995</v>
          </cell>
          <cell r="I164">
            <v>1.2922</v>
          </cell>
          <cell r="J164">
            <v>1</v>
          </cell>
          <cell r="K164">
            <v>0</v>
          </cell>
          <cell r="L164">
            <v>0</v>
          </cell>
          <cell r="M164">
            <v>0</v>
          </cell>
        </row>
        <row r="165">
          <cell r="A165">
            <v>40520</v>
          </cell>
          <cell r="B165">
            <v>3.5975999999999999</v>
          </cell>
          <cell r="C165">
            <v>1</v>
          </cell>
          <cell r="D165">
            <v>29.55</v>
          </cell>
          <cell r="E165">
            <v>6.8197000000000001</v>
          </cell>
          <cell r="F165">
            <v>0.97960000000000003</v>
          </cell>
          <cell r="G165">
            <v>1</v>
          </cell>
          <cell r="H165">
            <v>0.97960000000000003</v>
          </cell>
          <cell r="I165">
            <v>1.2904</v>
          </cell>
          <cell r="J165">
            <v>1</v>
          </cell>
          <cell r="K165">
            <v>0</v>
          </cell>
          <cell r="L165">
            <v>0</v>
          </cell>
          <cell r="M165">
            <v>0</v>
          </cell>
        </row>
        <row r="166">
          <cell r="A166">
            <v>40521</v>
          </cell>
          <cell r="B166">
            <v>3.6244000000000001</v>
          </cell>
          <cell r="C166">
            <v>1</v>
          </cell>
          <cell r="D166">
            <v>29.69</v>
          </cell>
          <cell r="E166">
            <v>6.8292999999999999</v>
          </cell>
          <cell r="F166">
            <v>0.9869</v>
          </cell>
          <cell r="G166">
            <v>1</v>
          </cell>
          <cell r="H166">
            <v>0.9869</v>
          </cell>
          <cell r="I166">
            <v>1.2925</v>
          </cell>
          <cell r="J166">
            <v>1</v>
          </cell>
          <cell r="K166">
            <v>0</v>
          </cell>
          <cell r="L166">
            <v>0</v>
          </cell>
          <cell r="M166">
            <v>0</v>
          </cell>
        </row>
        <row r="167">
          <cell r="A167">
            <v>40522</v>
          </cell>
          <cell r="B167">
            <v>3.6185</v>
          </cell>
          <cell r="C167">
            <v>1</v>
          </cell>
          <cell r="D167">
            <v>29.64</v>
          </cell>
          <cell r="E167">
            <v>6.7838000000000003</v>
          </cell>
          <cell r="F167">
            <v>0.98529999999999995</v>
          </cell>
          <cell r="G167">
            <v>1</v>
          </cell>
          <cell r="H167">
            <v>0.98529999999999995</v>
          </cell>
          <cell r="I167">
            <v>1.2904</v>
          </cell>
          <cell r="J167">
            <v>1</v>
          </cell>
          <cell r="K167">
            <v>0</v>
          </cell>
          <cell r="L167">
            <v>0</v>
          </cell>
          <cell r="M167">
            <v>0</v>
          </cell>
        </row>
        <row r="168">
          <cell r="A168">
            <v>40523</v>
          </cell>
          <cell r="B168">
            <v>3.6185</v>
          </cell>
          <cell r="C168">
            <v>1</v>
          </cell>
          <cell r="D168">
            <v>29.64</v>
          </cell>
          <cell r="E168">
            <v>6.7838000000000003</v>
          </cell>
          <cell r="F168">
            <v>0.98529999999999995</v>
          </cell>
          <cell r="G168">
            <v>1</v>
          </cell>
          <cell r="H168">
            <v>0.98529999999999995</v>
          </cell>
          <cell r="I168">
            <v>1.2904</v>
          </cell>
          <cell r="J168">
            <v>1</v>
          </cell>
          <cell r="K168">
            <v>0</v>
          </cell>
          <cell r="L168">
            <v>0</v>
          </cell>
          <cell r="M168">
            <v>0</v>
          </cell>
        </row>
        <row r="169">
          <cell r="A169">
            <v>40524</v>
          </cell>
          <cell r="B169">
            <v>3.6185</v>
          </cell>
          <cell r="C169">
            <v>1</v>
          </cell>
          <cell r="D169">
            <v>29.64</v>
          </cell>
          <cell r="E169">
            <v>6.7838000000000003</v>
          </cell>
          <cell r="F169">
            <v>0.98529999999999995</v>
          </cell>
          <cell r="G169">
            <v>1</v>
          </cell>
          <cell r="H169">
            <v>0.98529999999999995</v>
          </cell>
          <cell r="I169">
            <v>1.2904</v>
          </cell>
          <cell r="J169">
            <v>1</v>
          </cell>
          <cell r="K169">
            <v>0</v>
          </cell>
          <cell r="L169">
            <v>0</v>
          </cell>
          <cell r="M169">
            <v>0</v>
          </cell>
        </row>
        <row r="170">
          <cell r="A170">
            <v>40525</v>
          </cell>
          <cell r="B170">
            <v>3.6147999999999998</v>
          </cell>
          <cell r="C170">
            <v>1</v>
          </cell>
          <cell r="D170">
            <v>29.59</v>
          </cell>
          <cell r="E170">
            <v>6.7625999999999999</v>
          </cell>
          <cell r="F170">
            <v>0.98429999999999995</v>
          </cell>
          <cell r="G170">
            <v>1</v>
          </cell>
          <cell r="H170">
            <v>0.98429999999999995</v>
          </cell>
          <cell r="I170">
            <v>1.288</v>
          </cell>
          <cell r="J170">
            <v>1</v>
          </cell>
          <cell r="K170">
            <v>0</v>
          </cell>
          <cell r="L170">
            <v>0</v>
          </cell>
          <cell r="M170">
            <v>0</v>
          </cell>
        </row>
        <row r="171">
          <cell r="A171">
            <v>40526</v>
          </cell>
          <cell r="B171">
            <v>3.6541000000000001</v>
          </cell>
          <cell r="C171">
            <v>1</v>
          </cell>
          <cell r="D171">
            <v>29.88</v>
          </cell>
          <cell r="E171">
            <v>6.8075999999999999</v>
          </cell>
          <cell r="F171">
            <v>0.995</v>
          </cell>
          <cell r="G171">
            <v>1</v>
          </cell>
          <cell r="H171">
            <v>0.995</v>
          </cell>
          <cell r="I171">
            <v>1.2959000000000001</v>
          </cell>
          <cell r="J171">
            <v>1</v>
          </cell>
          <cell r="K171">
            <v>0</v>
          </cell>
          <cell r="L171">
            <v>0</v>
          </cell>
          <cell r="M171">
            <v>0</v>
          </cell>
        </row>
        <row r="172">
          <cell r="A172">
            <v>40527</v>
          </cell>
          <cell r="B172">
            <v>3.6570999999999998</v>
          </cell>
          <cell r="C172">
            <v>1</v>
          </cell>
          <cell r="D172">
            <v>29.94</v>
          </cell>
          <cell r="E172">
            <v>6.8116000000000003</v>
          </cell>
          <cell r="F172">
            <v>0.99580000000000002</v>
          </cell>
          <cell r="G172">
            <v>1</v>
          </cell>
          <cell r="H172">
            <v>0.99580000000000002</v>
          </cell>
          <cell r="I172">
            <v>1.3042</v>
          </cell>
          <cell r="J172">
            <v>1</v>
          </cell>
          <cell r="K172">
            <v>0</v>
          </cell>
          <cell r="L172">
            <v>0</v>
          </cell>
          <cell r="M172">
            <v>0</v>
          </cell>
        </row>
        <row r="173">
          <cell r="A173">
            <v>40528</v>
          </cell>
          <cell r="B173">
            <v>3.6226000000000003</v>
          </cell>
          <cell r="C173">
            <v>1</v>
          </cell>
          <cell r="D173">
            <v>29.71</v>
          </cell>
          <cell r="E173">
            <v>6.7679999999999998</v>
          </cell>
          <cell r="F173">
            <v>0.98640000000000005</v>
          </cell>
          <cell r="G173">
            <v>1</v>
          </cell>
          <cell r="H173">
            <v>0.98640000000000005</v>
          </cell>
          <cell r="I173">
            <v>1.2984</v>
          </cell>
          <cell r="J173">
            <v>1</v>
          </cell>
          <cell r="K173">
            <v>0</v>
          </cell>
          <cell r="L173">
            <v>0</v>
          </cell>
          <cell r="M173">
            <v>0</v>
          </cell>
        </row>
        <row r="174">
          <cell r="A174">
            <v>40529</v>
          </cell>
          <cell r="B174">
            <v>3.6391</v>
          </cell>
          <cell r="C174">
            <v>1</v>
          </cell>
          <cell r="D174">
            <v>29.85</v>
          </cell>
          <cell r="E174">
            <v>6.7778</v>
          </cell>
          <cell r="F174">
            <v>0.9909</v>
          </cell>
          <cell r="G174">
            <v>1</v>
          </cell>
          <cell r="H174">
            <v>0.9909</v>
          </cell>
          <cell r="I174">
            <v>1.2993000000000001</v>
          </cell>
          <cell r="J174">
            <v>1</v>
          </cell>
          <cell r="K174">
            <v>0</v>
          </cell>
          <cell r="L174">
            <v>0</v>
          </cell>
          <cell r="M174">
            <v>0</v>
          </cell>
        </row>
        <row r="175">
          <cell r="A175">
            <v>40530</v>
          </cell>
          <cell r="B175">
            <v>3.6391</v>
          </cell>
          <cell r="C175">
            <v>1</v>
          </cell>
          <cell r="D175">
            <v>29.85</v>
          </cell>
          <cell r="E175">
            <v>6.7778</v>
          </cell>
          <cell r="F175">
            <v>0.9909</v>
          </cell>
          <cell r="G175">
            <v>1</v>
          </cell>
          <cell r="H175">
            <v>0.9909</v>
          </cell>
          <cell r="I175">
            <v>1.2993000000000001</v>
          </cell>
          <cell r="J175">
            <v>1</v>
          </cell>
          <cell r="K175">
            <v>0</v>
          </cell>
          <cell r="L175">
            <v>0</v>
          </cell>
          <cell r="M175">
            <v>0</v>
          </cell>
        </row>
        <row r="176">
          <cell r="A176">
            <v>40531</v>
          </cell>
          <cell r="B176">
            <v>3.6391</v>
          </cell>
          <cell r="C176">
            <v>1</v>
          </cell>
          <cell r="D176">
            <v>29.85</v>
          </cell>
          <cell r="E176">
            <v>6.7778</v>
          </cell>
          <cell r="F176">
            <v>0.9909</v>
          </cell>
          <cell r="G176">
            <v>1</v>
          </cell>
          <cell r="H176">
            <v>0.9909</v>
          </cell>
          <cell r="I176">
            <v>1.2993000000000001</v>
          </cell>
          <cell r="J176">
            <v>1</v>
          </cell>
          <cell r="K176">
            <v>0</v>
          </cell>
          <cell r="L176">
            <v>0</v>
          </cell>
          <cell r="M176">
            <v>0</v>
          </cell>
        </row>
        <row r="177">
          <cell r="A177">
            <v>40532</v>
          </cell>
          <cell r="B177">
            <v>3.6284000000000001</v>
          </cell>
          <cell r="C177">
            <v>1</v>
          </cell>
          <cell r="D177">
            <v>29.85</v>
          </cell>
          <cell r="E177">
            <v>6.7773000000000003</v>
          </cell>
          <cell r="F177">
            <v>0.98799999999999999</v>
          </cell>
          <cell r="G177">
            <v>1</v>
          </cell>
          <cell r="H177">
            <v>0.98799999999999999</v>
          </cell>
          <cell r="I177">
            <v>1.3048999999999999</v>
          </cell>
          <cell r="J177">
            <v>1</v>
          </cell>
          <cell r="K177">
            <v>0</v>
          </cell>
          <cell r="L177">
            <v>0</v>
          </cell>
          <cell r="M177">
            <v>0</v>
          </cell>
        </row>
        <row r="178">
          <cell r="A178">
            <v>40533</v>
          </cell>
          <cell r="B178">
            <v>3.6593</v>
          </cell>
          <cell r="C178">
            <v>1</v>
          </cell>
          <cell r="D178">
            <v>30.06</v>
          </cell>
          <cell r="E178">
            <v>6.8022</v>
          </cell>
          <cell r="F178">
            <v>0.99639999999999995</v>
          </cell>
          <cell r="G178">
            <v>1</v>
          </cell>
          <cell r="H178">
            <v>0.99639999999999995</v>
          </cell>
          <cell r="I178">
            <v>1.3107</v>
          </cell>
          <cell r="J178">
            <v>1</v>
          </cell>
          <cell r="K178">
            <v>0</v>
          </cell>
          <cell r="L178">
            <v>0</v>
          </cell>
          <cell r="M178">
            <v>0</v>
          </cell>
        </row>
        <row r="179">
          <cell r="A179">
            <v>40534</v>
          </cell>
          <cell r="B179">
            <v>3.6625999999999999</v>
          </cell>
          <cell r="C179">
            <v>1</v>
          </cell>
          <cell r="D179">
            <v>30.08</v>
          </cell>
          <cell r="E179">
            <v>6.8090999999999999</v>
          </cell>
          <cell r="F179">
            <v>0.99729999999999996</v>
          </cell>
          <cell r="G179">
            <v>1</v>
          </cell>
          <cell r="H179">
            <v>0.99729999999999996</v>
          </cell>
          <cell r="I179">
            <v>1.3075000000000001</v>
          </cell>
          <cell r="J179">
            <v>1</v>
          </cell>
          <cell r="K179">
            <v>0</v>
          </cell>
          <cell r="L179">
            <v>0</v>
          </cell>
          <cell r="M179">
            <v>0</v>
          </cell>
        </row>
        <row r="180">
          <cell r="A180">
            <v>40535</v>
          </cell>
          <cell r="B180">
            <v>3.6772999999999998</v>
          </cell>
          <cell r="C180">
            <v>1</v>
          </cell>
          <cell r="D180">
            <v>30.2</v>
          </cell>
          <cell r="E180">
            <v>6.7960000000000003</v>
          </cell>
          <cell r="F180">
            <v>1.0013000000000001</v>
          </cell>
          <cell r="G180">
            <v>1</v>
          </cell>
          <cell r="H180">
            <v>1.0013000000000001</v>
          </cell>
          <cell r="I180">
            <v>1.3075999999999999</v>
          </cell>
          <cell r="J180">
            <v>1</v>
          </cell>
          <cell r="K180">
            <v>0</v>
          </cell>
          <cell r="L180">
            <v>0</v>
          </cell>
          <cell r="M180">
            <v>0</v>
          </cell>
        </row>
        <row r="181">
          <cell r="A181">
            <v>40536</v>
          </cell>
          <cell r="B181">
            <v>3.6867999999999999</v>
          </cell>
          <cell r="C181">
            <v>1</v>
          </cell>
          <cell r="D181">
            <v>30.29</v>
          </cell>
          <cell r="E181">
            <v>6.7869000000000002</v>
          </cell>
          <cell r="F181">
            <v>1.0039</v>
          </cell>
          <cell r="G181">
            <v>1</v>
          </cell>
          <cell r="H181">
            <v>1.0039</v>
          </cell>
          <cell r="I181">
            <v>1.3082</v>
          </cell>
          <cell r="J181">
            <v>1</v>
          </cell>
          <cell r="K181">
            <v>0</v>
          </cell>
          <cell r="L181">
            <v>0</v>
          </cell>
          <cell r="M181">
            <v>0</v>
          </cell>
        </row>
        <row r="182">
          <cell r="A182">
            <v>40537</v>
          </cell>
          <cell r="B182">
            <v>3.6867999999999999</v>
          </cell>
          <cell r="C182">
            <v>1</v>
          </cell>
          <cell r="D182">
            <v>30.29</v>
          </cell>
          <cell r="E182">
            <v>6.7869000000000002</v>
          </cell>
          <cell r="F182">
            <v>1.0039</v>
          </cell>
          <cell r="G182">
            <v>1</v>
          </cell>
          <cell r="H182">
            <v>1.0039</v>
          </cell>
          <cell r="I182">
            <v>1.3082</v>
          </cell>
          <cell r="J182">
            <v>1</v>
          </cell>
          <cell r="K182">
            <v>0</v>
          </cell>
          <cell r="L182">
            <v>0</v>
          </cell>
          <cell r="M182">
            <v>0</v>
          </cell>
        </row>
        <row r="183">
          <cell r="A183">
            <v>40538</v>
          </cell>
          <cell r="B183">
            <v>3.6867999999999999</v>
          </cell>
          <cell r="C183">
            <v>1</v>
          </cell>
          <cell r="D183">
            <v>30.29</v>
          </cell>
          <cell r="E183">
            <v>6.7869000000000002</v>
          </cell>
          <cell r="F183">
            <v>1.0039</v>
          </cell>
          <cell r="G183">
            <v>1</v>
          </cell>
          <cell r="H183">
            <v>1.0039</v>
          </cell>
          <cell r="I183">
            <v>1.3082</v>
          </cell>
          <cell r="J183">
            <v>1</v>
          </cell>
          <cell r="K183">
            <v>0</v>
          </cell>
          <cell r="L183">
            <v>0</v>
          </cell>
          <cell r="M183">
            <v>0</v>
          </cell>
        </row>
        <row r="184">
          <cell r="A184">
            <v>40539</v>
          </cell>
          <cell r="B184">
            <v>3.6867999999999999</v>
          </cell>
          <cell r="C184">
            <v>1</v>
          </cell>
          <cell r="D184">
            <v>30.29</v>
          </cell>
          <cell r="E184">
            <v>6.7869000000000002</v>
          </cell>
          <cell r="F184">
            <v>1.0039</v>
          </cell>
          <cell r="G184">
            <v>1</v>
          </cell>
          <cell r="H184">
            <v>1.0039</v>
          </cell>
          <cell r="I184">
            <v>1.3082</v>
          </cell>
          <cell r="J184">
            <v>1</v>
          </cell>
          <cell r="K184">
            <v>0</v>
          </cell>
          <cell r="L184">
            <v>0</v>
          </cell>
          <cell r="M184">
            <v>0</v>
          </cell>
        </row>
        <row r="185">
          <cell r="A185">
            <v>40540</v>
          </cell>
          <cell r="B185">
            <v>3.6867999999999999</v>
          </cell>
          <cell r="C185">
            <v>1</v>
          </cell>
          <cell r="D185">
            <v>30.29</v>
          </cell>
          <cell r="E185">
            <v>6.7869000000000002</v>
          </cell>
          <cell r="F185">
            <v>1.0039</v>
          </cell>
          <cell r="G185">
            <v>1</v>
          </cell>
          <cell r="H185">
            <v>1.0039</v>
          </cell>
          <cell r="I185">
            <v>1.3082</v>
          </cell>
          <cell r="J185">
            <v>1</v>
          </cell>
          <cell r="K185">
            <v>0</v>
          </cell>
          <cell r="L185">
            <v>0</v>
          </cell>
          <cell r="M185">
            <v>0</v>
          </cell>
        </row>
        <row r="186">
          <cell r="A186">
            <v>40541</v>
          </cell>
          <cell r="B186">
            <v>3.7114000000000003</v>
          </cell>
          <cell r="C186">
            <v>1</v>
          </cell>
          <cell r="D186">
            <v>30.49</v>
          </cell>
          <cell r="E186">
            <v>6.7507999999999999</v>
          </cell>
          <cell r="F186">
            <v>1.0105999999999999</v>
          </cell>
          <cell r="G186">
            <v>1</v>
          </cell>
          <cell r="H186">
            <v>1.0105999999999999</v>
          </cell>
          <cell r="I186">
            <v>1.3117000000000001</v>
          </cell>
          <cell r="J186">
            <v>1</v>
          </cell>
          <cell r="K186">
            <v>0</v>
          </cell>
          <cell r="L186">
            <v>0</v>
          </cell>
          <cell r="M186">
            <v>0</v>
          </cell>
        </row>
        <row r="187">
          <cell r="A187">
            <v>40542</v>
          </cell>
          <cell r="B187">
            <v>3.7349000000000001</v>
          </cell>
          <cell r="C187">
            <v>1</v>
          </cell>
          <cell r="D187">
            <v>30.66</v>
          </cell>
          <cell r="E187">
            <v>6.7544000000000004</v>
          </cell>
          <cell r="F187">
            <v>1.0169999999999999</v>
          </cell>
          <cell r="G187">
            <v>1</v>
          </cell>
          <cell r="H187">
            <v>1.0169999999999999</v>
          </cell>
          <cell r="I187">
            <v>1.3136999999999999</v>
          </cell>
          <cell r="J187">
            <v>1</v>
          </cell>
          <cell r="K187">
            <v>0</v>
          </cell>
          <cell r="L187">
            <v>0</v>
          </cell>
          <cell r="M187">
            <v>0</v>
          </cell>
        </row>
        <row r="188">
          <cell r="A188">
            <v>40543</v>
          </cell>
          <cell r="B188">
            <v>3.7324000000000002</v>
          </cell>
          <cell r="C188">
            <v>1</v>
          </cell>
          <cell r="D188">
            <v>30.59</v>
          </cell>
          <cell r="E188">
            <v>6.7279</v>
          </cell>
          <cell r="F188">
            <v>1.0163</v>
          </cell>
          <cell r="G188">
            <v>1</v>
          </cell>
          <cell r="H188">
            <v>1.0163</v>
          </cell>
          <cell r="I188">
            <v>1.3068</v>
          </cell>
          <cell r="J188">
            <v>1</v>
          </cell>
          <cell r="K188">
            <v>0</v>
          </cell>
          <cell r="L188">
            <v>0</v>
          </cell>
          <cell r="M188">
            <v>0</v>
          </cell>
        </row>
        <row r="189">
          <cell r="A189">
            <v>40544</v>
          </cell>
          <cell r="B189">
            <v>3.7324000000000002</v>
          </cell>
          <cell r="C189">
            <v>1</v>
          </cell>
          <cell r="D189">
            <v>30.59</v>
          </cell>
          <cell r="E189">
            <v>6.7279</v>
          </cell>
          <cell r="F189">
            <v>1.0163</v>
          </cell>
          <cell r="G189">
            <v>1</v>
          </cell>
          <cell r="H189">
            <v>1.0163</v>
          </cell>
          <cell r="I189">
            <v>1.3068</v>
          </cell>
          <cell r="J189">
            <v>1</v>
          </cell>
          <cell r="K189">
            <v>0</v>
          </cell>
          <cell r="L189">
            <v>0</v>
          </cell>
          <cell r="M189">
            <v>0</v>
          </cell>
        </row>
        <row r="190">
          <cell r="A190">
            <v>40545</v>
          </cell>
          <cell r="B190">
            <v>3.7324000000000002</v>
          </cell>
          <cell r="C190">
            <v>1</v>
          </cell>
          <cell r="D190">
            <v>30.59</v>
          </cell>
          <cell r="E190">
            <v>6.7279</v>
          </cell>
          <cell r="F190">
            <v>1.0163</v>
          </cell>
          <cell r="G190">
            <v>1</v>
          </cell>
          <cell r="H190">
            <v>1.0163</v>
          </cell>
          <cell r="I190">
            <v>1.3068</v>
          </cell>
          <cell r="J190">
            <v>1</v>
          </cell>
          <cell r="K190">
            <v>0</v>
          </cell>
          <cell r="L190">
            <v>0</v>
          </cell>
          <cell r="M190">
            <v>0</v>
          </cell>
        </row>
        <row r="191">
          <cell r="A191">
            <v>40546</v>
          </cell>
          <cell r="B191">
            <v>3.7324000000000002</v>
          </cell>
          <cell r="C191">
            <v>1</v>
          </cell>
          <cell r="D191">
            <v>30.59</v>
          </cell>
          <cell r="E191">
            <v>6.7279</v>
          </cell>
          <cell r="F191">
            <v>1.0163</v>
          </cell>
          <cell r="G191">
            <v>1</v>
          </cell>
          <cell r="H191">
            <v>1.0163</v>
          </cell>
          <cell r="I191">
            <v>1.3068</v>
          </cell>
          <cell r="J191">
            <v>1</v>
          </cell>
          <cell r="K191">
            <v>0</v>
          </cell>
          <cell r="L191">
            <v>0</v>
          </cell>
          <cell r="M191">
            <v>0</v>
          </cell>
        </row>
        <row r="192">
          <cell r="A192">
            <v>40547</v>
          </cell>
          <cell r="B192">
            <v>3.7088999999999999</v>
          </cell>
          <cell r="C192">
            <v>1</v>
          </cell>
          <cell r="D192">
            <v>30.35</v>
          </cell>
          <cell r="E192">
            <v>6.7007000000000003</v>
          </cell>
          <cell r="F192">
            <v>1.0099</v>
          </cell>
          <cell r="G192">
            <v>1</v>
          </cell>
          <cell r="H192">
            <v>1.0099</v>
          </cell>
          <cell r="I192">
            <v>1.2988</v>
          </cell>
          <cell r="J192">
            <v>1</v>
          </cell>
          <cell r="K192">
            <v>0</v>
          </cell>
          <cell r="L192">
            <v>0</v>
          </cell>
          <cell r="M192">
            <v>0</v>
          </cell>
        </row>
        <row r="193">
          <cell r="A193">
            <v>40548</v>
          </cell>
          <cell r="B193">
            <v>3.6776</v>
          </cell>
          <cell r="C193">
            <v>1</v>
          </cell>
          <cell r="D193">
            <v>30.18</v>
          </cell>
          <cell r="E193">
            <v>6.7069000000000001</v>
          </cell>
          <cell r="F193">
            <v>1.0014000000000001</v>
          </cell>
          <cell r="G193">
            <v>1</v>
          </cell>
          <cell r="H193">
            <v>1.0014000000000001</v>
          </cell>
          <cell r="I193">
            <v>1.2927999999999999</v>
          </cell>
          <cell r="J193">
            <v>1</v>
          </cell>
          <cell r="K193">
            <v>0</v>
          </cell>
          <cell r="L193">
            <v>0</v>
          </cell>
          <cell r="M193">
            <v>0</v>
          </cell>
        </row>
        <row r="194">
          <cell r="A194">
            <v>40549</v>
          </cell>
          <cell r="B194">
            <v>3.6604000000000001</v>
          </cell>
          <cell r="C194">
            <v>1</v>
          </cell>
          <cell r="D194">
            <v>30.13</v>
          </cell>
          <cell r="E194">
            <v>6.6859000000000002</v>
          </cell>
          <cell r="F194">
            <v>0.99670000000000003</v>
          </cell>
          <cell r="G194">
            <v>1</v>
          </cell>
          <cell r="H194">
            <v>0.99670000000000003</v>
          </cell>
          <cell r="I194">
            <v>1.2896000000000001</v>
          </cell>
          <cell r="J194">
            <v>1</v>
          </cell>
          <cell r="K194">
            <v>0</v>
          </cell>
          <cell r="L194">
            <v>0</v>
          </cell>
          <cell r="M194">
            <v>0</v>
          </cell>
        </row>
        <row r="195">
          <cell r="A195">
            <v>40550</v>
          </cell>
          <cell r="B195">
            <v>3.6478999999999999</v>
          </cell>
          <cell r="C195">
            <v>1</v>
          </cell>
          <cell r="D195">
            <v>30.08</v>
          </cell>
          <cell r="E195">
            <v>6.7568999999999999</v>
          </cell>
          <cell r="F195">
            <v>0.99329999999999996</v>
          </cell>
          <cell r="G195">
            <v>1</v>
          </cell>
          <cell r="H195">
            <v>0.99329999999999996</v>
          </cell>
          <cell r="I195">
            <v>1.288</v>
          </cell>
          <cell r="J195">
            <v>1</v>
          </cell>
          <cell r="K195">
            <v>0</v>
          </cell>
          <cell r="L195">
            <v>0</v>
          </cell>
          <cell r="M195">
            <v>0</v>
          </cell>
        </row>
        <row r="196">
          <cell r="A196">
            <v>40551</v>
          </cell>
          <cell r="B196">
            <v>3.6478999999999999</v>
          </cell>
          <cell r="C196">
            <v>1</v>
          </cell>
          <cell r="D196">
            <v>30.08</v>
          </cell>
          <cell r="E196">
            <v>6.7568999999999999</v>
          </cell>
          <cell r="F196">
            <v>0.99329999999999996</v>
          </cell>
          <cell r="G196">
            <v>1</v>
          </cell>
          <cell r="H196">
            <v>0.99329999999999996</v>
          </cell>
          <cell r="I196">
            <v>1.288</v>
          </cell>
          <cell r="J196">
            <v>1</v>
          </cell>
          <cell r="K196">
            <v>0</v>
          </cell>
          <cell r="L196">
            <v>0</v>
          </cell>
          <cell r="M196">
            <v>0</v>
          </cell>
        </row>
        <row r="197">
          <cell r="A197">
            <v>40552</v>
          </cell>
          <cell r="B197">
            <v>3.6478999999999999</v>
          </cell>
          <cell r="C197">
            <v>1</v>
          </cell>
          <cell r="D197">
            <v>30.08</v>
          </cell>
          <cell r="E197">
            <v>6.7568999999999999</v>
          </cell>
          <cell r="F197">
            <v>0.99329999999999996</v>
          </cell>
          <cell r="G197">
            <v>1</v>
          </cell>
          <cell r="H197">
            <v>0.99329999999999996</v>
          </cell>
          <cell r="I197">
            <v>1.288</v>
          </cell>
          <cell r="J197">
            <v>1</v>
          </cell>
          <cell r="K197">
            <v>0</v>
          </cell>
          <cell r="L197">
            <v>0</v>
          </cell>
          <cell r="M197">
            <v>0</v>
          </cell>
        </row>
        <row r="198">
          <cell r="A198">
            <v>40553</v>
          </cell>
          <cell r="B198">
            <v>3.6570999999999998</v>
          </cell>
          <cell r="C198">
            <v>1</v>
          </cell>
          <cell r="D198">
            <v>30.33</v>
          </cell>
          <cell r="E198">
            <v>6.7788000000000004</v>
          </cell>
          <cell r="F198">
            <v>0.99580000000000002</v>
          </cell>
          <cell r="G198">
            <v>1</v>
          </cell>
          <cell r="H198">
            <v>0.99580000000000002</v>
          </cell>
          <cell r="I198">
            <v>1.2909999999999999</v>
          </cell>
          <cell r="J198">
            <v>1</v>
          </cell>
          <cell r="K198">
            <v>0</v>
          </cell>
          <cell r="L198">
            <v>0</v>
          </cell>
          <cell r="M198">
            <v>0</v>
          </cell>
        </row>
        <row r="199">
          <cell r="A199">
            <v>40554</v>
          </cell>
          <cell r="B199">
            <v>3.6158999999999999</v>
          </cell>
          <cell r="C199">
            <v>1</v>
          </cell>
          <cell r="D199">
            <v>30.17</v>
          </cell>
          <cell r="E199">
            <v>6.7402999999999995</v>
          </cell>
          <cell r="F199">
            <v>0.98460000000000003</v>
          </cell>
          <cell r="G199">
            <v>1</v>
          </cell>
          <cell r="H199">
            <v>0.98460000000000003</v>
          </cell>
          <cell r="I199">
            <v>1.2777000000000001</v>
          </cell>
          <cell r="J199">
            <v>1</v>
          </cell>
          <cell r="K199">
            <v>0</v>
          </cell>
          <cell r="L199">
            <v>0</v>
          </cell>
          <cell r="M199">
            <v>0</v>
          </cell>
        </row>
        <row r="200">
          <cell r="A200">
            <v>40555</v>
          </cell>
          <cell r="B200">
            <v>3.6166999999999998</v>
          </cell>
          <cell r="C200">
            <v>1</v>
          </cell>
          <cell r="D200">
            <v>29.95</v>
          </cell>
          <cell r="E200">
            <v>6.7562999999999995</v>
          </cell>
          <cell r="F200">
            <v>0.98480000000000001</v>
          </cell>
          <cell r="G200">
            <v>1</v>
          </cell>
          <cell r="H200">
            <v>0.98480000000000001</v>
          </cell>
          <cell r="I200">
            <v>1.2732000000000001</v>
          </cell>
          <cell r="J200">
            <v>1</v>
          </cell>
          <cell r="K200">
            <v>0</v>
          </cell>
          <cell r="L200">
            <v>0</v>
          </cell>
          <cell r="M200">
            <v>0</v>
          </cell>
        </row>
        <row r="201">
          <cell r="A201">
            <v>40556</v>
          </cell>
          <cell r="B201">
            <v>3.653</v>
          </cell>
          <cell r="C201">
            <v>1</v>
          </cell>
          <cell r="D201">
            <v>30.21</v>
          </cell>
          <cell r="E201">
            <v>6.8040000000000003</v>
          </cell>
          <cell r="F201">
            <v>0.99470000000000003</v>
          </cell>
          <cell r="G201">
            <v>1</v>
          </cell>
          <cell r="H201">
            <v>0.99470000000000003</v>
          </cell>
          <cell r="I201">
            <v>1.2817000000000001</v>
          </cell>
          <cell r="J201">
            <v>1</v>
          </cell>
          <cell r="K201">
            <v>0</v>
          </cell>
          <cell r="L201">
            <v>0</v>
          </cell>
          <cell r="M201">
            <v>0</v>
          </cell>
        </row>
        <row r="202">
          <cell r="A202">
            <v>40557</v>
          </cell>
          <cell r="B202">
            <v>3.6593</v>
          </cell>
          <cell r="C202">
            <v>1</v>
          </cell>
          <cell r="D202">
            <v>30.38</v>
          </cell>
          <cell r="E202">
            <v>6.8101000000000003</v>
          </cell>
          <cell r="F202">
            <v>0.99639999999999995</v>
          </cell>
          <cell r="G202">
            <v>1</v>
          </cell>
          <cell r="H202">
            <v>0.99639999999999995</v>
          </cell>
          <cell r="I202">
            <v>1.2835000000000001</v>
          </cell>
          <cell r="J202">
            <v>1</v>
          </cell>
          <cell r="K202">
            <v>0</v>
          </cell>
          <cell r="L202">
            <v>0</v>
          </cell>
          <cell r="M202">
            <v>0</v>
          </cell>
        </row>
        <row r="203">
          <cell r="A203">
            <v>40558</v>
          </cell>
          <cell r="B203">
            <v>3.6593</v>
          </cell>
          <cell r="C203">
            <v>1</v>
          </cell>
          <cell r="D203">
            <v>30.38</v>
          </cell>
          <cell r="E203">
            <v>6.8101000000000003</v>
          </cell>
          <cell r="F203">
            <v>0.99639999999999995</v>
          </cell>
          <cell r="G203">
            <v>1</v>
          </cell>
          <cell r="H203">
            <v>0.99639999999999995</v>
          </cell>
          <cell r="I203">
            <v>1.2835000000000001</v>
          </cell>
          <cell r="J203">
            <v>1</v>
          </cell>
          <cell r="K203">
            <v>0</v>
          </cell>
          <cell r="L203">
            <v>0</v>
          </cell>
          <cell r="M203">
            <v>0</v>
          </cell>
        </row>
        <row r="204">
          <cell r="A204">
            <v>40559</v>
          </cell>
          <cell r="B204">
            <v>3.6593</v>
          </cell>
          <cell r="C204">
            <v>1</v>
          </cell>
          <cell r="D204">
            <v>30.38</v>
          </cell>
          <cell r="E204">
            <v>6.8101000000000003</v>
          </cell>
          <cell r="F204">
            <v>0.99639999999999995</v>
          </cell>
          <cell r="G204">
            <v>1</v>
          </cell>
          <cell r="H204">
            <v>0.99639999999999995</v>
          </cell>
          <cell r="I204">
            <v>1.2835000000000001</v>
          </cell>
          <cell r="J204">
            <v>1</v>
          </cell>
          <cell r="K204">
            <v>0</v>
          </cell>
          <cell r="L204">
            <v>0</v>
          </cell>
          <cell r="M204">
            <v>0</v>
          </cell>
        </row>
        <row r="205">
          <cell r="A205">
            <v>40560</v>
          </cell>
          <cell r="B205">
            <v>3.6273</v>
          </cell>
          <cell r="C205">
            <v>1</v>
          </cell>
          <cell r="D205">
            <v>30.19</v>
          </cell>
          <cell r="E205">
            <v>6.8468999999999998</v>
          </cell>
          <cell r="F205">
            <v>0.98770000000000002</v>
          </cell>
          <cell r="G205">
            <v>1</v>
          </cell>
          <cell r="H205">
            <v>0.98770000000000002</v>
          </cell>
          <cell r="I205">
            <v>1.2749999999999999</v>
          </cell>
          <cell r="J205">
            <v>1</v>
          </cell>
          <cell r="K205">
            <v>0</v>
          </cell>
          <cell r="L205">
            <v>0</v>
          </cell>
          <cell r="M205">
            <v>0</v>
          </cell>
        </row>
        <row r="206">
          <cell r="A206">
            <v>40561</v>
          </cell>
          <cell r="B206">
            <v>3.6501000000000001</v>
          </cell>
          <cell r="C206">
            <v>1</v>
          </cell>
          <cell r="D206">
            <v>30.42</v>
          </cell>
          <cell r="E206">
            <v>6.8539000000000003</v>
          </cell>
          <cell r="F206">
            <v>0.99390000000000001</v>
          </cell>
          <cell r="G206">
            <v>1</v>
          </cell>
          <cell r="H206">
            <v>0.99390000000000001</v>
          </cell>
          <cell r="I206">
            <v>1.2791999999999999</v>
          </cell>
          <cell r="J206">
            <v>1</v>
          </cell>
          <cell r="K206">
            <v>0</v>
          </cell>
          <cell r="L206">
            <v>0</v>
          </cell>
          <cell r="M206">
            <v>0</v>
          </cell>
        </row>
        <row r="207">
          <cell r="A207">
            <v>40562</v>
          </cell>
          <cell r="B207">
            <v>3.6846000000000001</v>
          </cell>
          <cell r="C207">
            <v>1</v>
          </cell>
          <cell r="D207">
            <v>30.57</v>
          </cell>
          <cell r="E207">
            <v>6.8977000000000004</v>
          </cell>
          <cell r="F207">
            <v>1.0033000000000001</v>
          </cell>
          <cell r="G207">
            <v>1</v>
          </cell>
          <cell r="H207">
            <v>1.0033000000000001</v>
          </cell>
          <cell r="I207">
            <v>1.2856000000000001</v>
          </cell>
          <cell r="J207">
            <v>1</v>
          </cell>
          <cell r="K207">
            <v>0</v>
          </cell>
          <cell r="L207">
            <v>0</v>
          </cell>
          <cell r="M207">
            <v>0</v>
          </cell>
        </row>
        <row r="208">
          <cell r="A208">
            <v>40563</v>
          </cell>
          <cell r="B208">
            <v>3.66</v>
          </cell>
          <cell r="C208">
            <v>1</v>
          </cell>
          <cell r="D208">
            <v>30.45</v>
          </cell>
          <cell r="E208">
            <v>6.9587000000000003</v>
          </cell>
          <cell r="F208">
            <v>0.99660000000000004</v>
          </cell>
          <cell r="G208">
            <v>1</v>
          </cell>
          <cell r="H208">
            <v>0.99660000000000004</v>
          </cell>
          <cell r="I208">
            <v>1.2833999999999999</v>
          </cell>
          <cell r="J208">
            <v>1</v>
          </cell>
          <cell r="K208">
            <v>0</v>
          </cell>
          <cell r="L208">
            <v>0</v>
          </cell>
          <cell r="M208">
            <v>0</v>
          </cell>
        </row>
        <row r="209">
          <cell r="A209">
            <v>40564</v>
          </cell>
          <cell r="B209">
            <v>3.6215000000000002</v>
          </cell>
          <cell r="C209">
            <v>1</v>
          </cell>
          <cell r="D209">
            <v>30.24</v>
          </cell>
          <cell r="E209">
            <v>6.9771999999999998</v>
          </cell>
          <cell r="F209">
            <v>0.98609999999999998</v>
          </cell>
          <cell r="G209">
            <v>1</v>
          </cell>
          <cell r="H209">
            <v>0.98609999999999998</v>
          </cell>
          <cell r="I209">
            <v>1.2692999999999999</v>
          </cell>
          <cell r="J209">
            <v>1</v>
          </cell>
          <cell r="K209">
            <v>0</v>
          </cell>
          <cell r="L209">
            <v>0</v>
          </cell>
          <cell r="M209">
            <v>0</v>
          </cell>
        </row>
        <row r="210">
          <cell r="A210">
            <v>40565</v>
          </cell>
          <cell r="B210">
            <v>3.6215000000000002</v>
          </cell>
          <cell r="C210">
            <v>1</v>
          </cell>
          <cell r="D210">
            <v>30.24</v>
          </cell>
          <cell r="E210">
            <v>6.9771999999999998</v>
          </cell>
          <cell r="F210">
            <v>0.98609999999999998</v>
          </cell>
          <cell r="G210">
            <v>1</v>
          </cell>
          <cell r="H210">
            <v>0.98609999999999998</v>
          </cell>
          <cell r="I210">
            <v>1.2692999999999999</v>
          </cell>
          <cell r="J210">
            <v>1</v>
          </cell>
          <cell r="K210">
            <v>0</v>
          </cell>
          <cell r="L210">
            <v>0</v>
          </cell>
          <cell r="M210">
            <v>0</v>
          </cell>
        </row>
        <row r="211">
          <cell r="A211">
            <v>40566</v>
          </cell>
          <cell r="B211">
            <v>3.6215000000000002</v>
          </cell>
          <cell r="C211">
            <v>1</v>
          </cell>
          <cell r="D211">
            <v>30.24</v>
          </cell>
          <cell r="E211">
            <v>6.9771999999999998</v>
          </cell>
          <cell r="F211">
            <v>0.98609999999999998</v>
          </cell>
          <cell r="G211">
            <v>1</v>
          </cell>
          <cell r="H211">
            <v>0.98609999999999998</v>
          </cell>
          <cell r="I211">
            <v>1.2692999999999999</v>
          </cell>
          <cell r="J211">
            <v>1</v>
          </cell>
          <cell r="K211">
            <v>0</v>
          </cell>
          <cell r="L211">
            <v>0</v>
          </cell>
          <cell r="M211">
            <v>0</v>
          </cell>
        </row>
        <row r="212">
          <cell r="A212">
            <v>40567</v>
          </cell>
          <cell r="B212">
            <v>3.6288</v>
          </cell>
          <cell r="C212">
            <v>1</v>
          </cell>
          <cell r="D212">
            <v>30.39</v>
          </cell>
          <cell r="E212">
            <v>6.9759000000000002</v>
          </cell>
          <cell r="F212">
            <v>0.98809999999999998</v>
          </cell>
          <cell r="G212">
            <v>1</v>
          </cell>
          <cell r="H212">
            <v>0.98809999999999998</v>
          </cell>
          <cell r="I212">
            <v>1.2685</v>
          </cell>
          <cell r="J212">
            <v>1</v>
          </cell>
          <cell r="K212">
            <v>0</v>
          </cell>
          <cell r="L212">
            <v>0</v>
          </cell>
          <cell r="M212">
            <v>0</v>
          </cell>
        </row>
        <row r="213">
          <cell r="A213">
            <v>40568</v>
          </cell>
          <cell r="B213">
            <v>3.6574</v>
          </cell>
          <cell r="C213">
            <v>1</v>
          </cell>
          <cell r="D213">
            <v>30.86</v>
          </cell>
          <cell r="E213">
            <v>6.9852999999999996</v>
          </cell>
          <cell r="F213">
            <v>0.99590000000000001</v>
          </cell>
          <cell r="G213">
            <v>1</v>
          </cell>
          <cell r="H213">
            <v>0.99590000000000001</v>
          </cell>
          <cell r="I213">
            <v>1.2746</v>
          </cell>
          <cell r="J213">
            <v>1</v>
          </cell>
          <cell r="K213">
            <v>0</v>
          </cell>
          <cell r="L213">
            <v>0</v>
          </cell>
          <cell r="M213">
            <v>0</v>
          </cell>
        </row>
        <row r="214">
          <cell r="A214">
            <v>40569</v>
          </cell>
          <cell r="B214">
            <v>3.6574</v>
          </cell>
          <cell r="C214">
            <v>1</v>
          </cell>
          <cell r="D214">
            <v>30.86</v>
          </cell>
          <cell r="E214">
            <v>6.9852999999999996</v>
          </cell>
          <cell r="F214">
            <v>0.99590000000000001</v>
          </cell>
          <cell r="G214">
            <v>1</v>
          </cell>
          <cell r="H214">
            <v>0.99590000000000001</v>
          </cell>
          <cell r="I214">
            <v>1.2746</v>
          </cell>
          <cell r="J214">
            <v>1</v>
          </cell>
          <cell r="K214">
            <v>0</v>
          </cell>
          <cell r="L214">
            <v>0</v>
          </cell>
          <cell r="M214">
            <v>0</v>
          </cell>
        </row>
        <row r="215">
          <cell r="A215">
            <v>40570</v>
          </cell>
          <cell r="B215">
            <v>3.6593</v>
          </cell>
          <cell r="C215">
            <v>1</v>
          </cell>
          <cell r="D215">
            <v>30.71</v>
          </cell>
          <cell r="E215">
            <v>7.0346000000000002</v>
          </cell>
          <cell r="F215">
            <v>0.99639999999999995</v>
          </cell>
          <cell r="G215">
            <v>1</v>
          </cell>
          <cell r="H215">
            <v>0.99639999999999995</v>
          </cell>
          <cell r="I215">
            <v>1.2742</v>
          </cell>
          <cell r="J215">
            <v>1</v>
          </cell>
          <cell r="K215">
            <v>0</v>
          </cell>
          <cell r="L215">
            <v>0</v>
          </cell>
          <cell r="M215">
            <v>0</v>
          </cell>
        </row>
        <row r="216">
          <cell r="A216">
            <v>40571</v>
          </cell>
          <cell r="B216">
            <v>3.6335999999999999</v>
          </cell>
          <cell r="C216">
            <v>1</v>
          </cell>
          <cell r="D216">
            <v>30.76</v>
          </cell>
          <cell r="E216">
            <v>6.9920999999999998</v>
          </cell>
          <cell r="F216">
            <v>0.98939999999999995</v>
          </cell>
          <cell r="G216">
            <v>1</v>
          </cell>
          <cell r="H216">
            <v>0.98939999999999995</v>
          </cell>
          <cell r="I216">
            <v>1.2678</v>
          </cell>
          <cell r="J216">
            <v>1</v>
          </cell>
          <cell r="K216">
            <v>0</v>
          </cell>
          <cell r="L216">
            <v>0</v>
          </cell>
          <cell r="M216">
            <v>0</v>
          </cell>
        </row>
        <row r="217">
          <cell r="A217">
            <v>40572</v>
          </cell>
          <cell r="B217">
            <v>3.6335999999999999</v>
          </cell>
          <cell r="C217">
            <v>1</v>
          </cell>
          <cell r="D217">
            <v>30.76</v>
          </cell>
          <cell r="E217">
            <v>6.9920999999999998</v>
          </cell>
          <cell r="F217">
            <v>0.98939999999999995</v>
          </cell>
          <cell r="G217">
            <v>1</v>
          </cell>
          <cell r="H217">
            <v>0.98939999999999995</v>
          </cell>
          <cell r="I217">
            <v>1.2678</v>
          </cell>
          <cell r="J217">
            <v>1</v>
          </cell>
          <cell r="K217">
            <v>0</v>
          </cell>
          <cell r="L217">
            <v>0</v>
          </cell>
          <cell r="M217">
            <v>0</v>
          </cell>
        </row>
        <row r="218">
          <cell r="A218">
            <v>40573</v>
          </cell>
          <cell r="B218">
            <v>3.6335999999999999</v>
          </cell>
          <cell r="C218">
            <v>1</v>
          </cell>
          <cell r="D218">
            <v>30.76</v>
          </cell>
          <cell r="E218">
            <v>6.9920999999999998</v>
          </cell>
          <cell r="F218">
            <v>0.98939999999999995</v>
          </cell>
          <cell r="G218">
            <v>1</v>
          </cell>
          <cell r="H218">
            <v>0.98939999999999995</v>
          </cell>
          <cell r="I218">
            <v>1.2678</v>
          </cell>
          <cell r="J218">
            <v>1</v>
          </cell>
          <cell r="K218">
            <v>0</v>
          </cell>
          <cell r="L218">
            <v>0</v>
          </cell>
          <cell r="M218">
            <v>0</v>
          </cell>
        </row>
        <row r="219">
          <cell r="A219">
            <v>40574</v>
          </cell>
          <cell r="B219">
            <v>3.6446000000000001</v>
          </cell>
          <cell r="C219">
            <v>1</v>
          </cell>
          <cell r="D219">
            <v>30.94</v>
          </cell>
          <cell r="E219">
            <v>7.1139999999999999</v>
          </cell>
          <cell r="F219">
            <v>0.99239999999999995</v>
          </cell>
          <cell r="G219">
            <v>1</v>
          </cell>
          <cell r="H219">
            <v>0.99239999999999995</v>
          </cell>
          <cell r="I219">
            <v>1.2759</v>
          </cell>
          <cell r="J219">
            <v>1</v>
          </cell>
          <cell r="K219">
            <v>0</v>
          </cell>
          <cell r="L219">
            <v>0</v>
          </cell>
          <cell r="M219">
            <v>0</v>
          </cell>
        </row>
        <row r="220">
          <cell r="A220">
            <v>40575</v>
          </cell>
          <cell r="B220">
            <v>3.6861000000000002</v>
          </cell>
          <cell r="C220">
            <v>1</v>
          </cell>
          <cell r="D220">
            <v>30.99</v>
          </cell>
          <cell r="E220">
            <v>7.1927000000000003</v>
          </cell>
          <cell r="F220">
            <v>1.0037</v>
          </cell>
          <cell r="G220">
            <v>1</v>
          </cell>
          <cell r="H220">
            <v>1.0037</v>
          </cell>
          <cell r="I220">
            <v>1.2828999999999999</v>
          </cell>
          <cell r="J220">
            <v>1</v>
          </cell>
          <cell r="K220">
            <v>0</v>
          </cell>
          <cell r="L220">
            <v>0</v>
          </cell>
          <cell r="M220">
            <v>0</v>
          </cell>
        </row>
        <row r="221">
          <cell r="A221">
            <v>40576</v>
          </cell>
          <cell r="B221">
            <v>3.7183999999999999</v>
          </cell>
          <cell r="C221">
            <v>1</v>
          </cell>
          <cell r="D221">
            <v>31.21</v>
          </cell>
          <cell r="E221">
            <v>7.2089999999999996</v>
          </cell>
          <cell r="F221">
            <v>1.0125</v>
          </cell>
          <cell r="G221">
            <v>1</v>
          </cell>
          <cell r="H221">
            <v>1.0125</v>
          </cell>
          <cell r="I221">
            <v>1.2884</v>
          </cell>
          <cell r="J221">
            <v>1</v>
          </cell>
          <cell r="K221">
            <v>0</v>
          </cell>
          <cell r="L221">
            <v>0</v>
          </cell>
          <cell r="M221">
            <v>0</v>
          </cell>
        </row>
        <row r="222">
          <cell r="A222">
            <v>40577</v>
          </cell>
          <cell r="B222">
            <v>3.7111000000000001</v>
          </cell>
          <cell r="C222">
            <v>1</v>
          </cell>
          <cell r="D222">
            <v>31.22</v>
          </cell>
          <cell r="E222">
            <v>7.2347999999999999</v>
          </cell>
          <cell r="F222">
            <v>1.0105</v>
          </cell>
          <cell r="G222">
            <v>1</v>
          </cell>
          <cell r="H222">
            <v>1.0105</v>
          </cell>
          <cell r="I222">
            <v>1.2868999999999999</v>
          </cell>
          <cell r="J222">
            <v>1</v>
          </cell>
          <cell r="K222">
            <v>0</v>
          </cell>
          <cell r="L222">
            <v>0</v>
          </cell>
          <cell r="M222">
            <v>0</v>
          </cell>
        </row>
        <row r="223">
          <cell r="A223">
            <v>40578</v>
          </cell>
          <cell r="B223">
            <v>3.7408000000000001</v>
          </cell>
          <cell r="C223">
            <v>1</v>
          </cell>
          <cell r="D223">
            <v>31.41</v>
          </cell>
          <cell r="E223">
            <v>7.3967999999999998</v>
          </cell>
          <cell r="F223">
            <v>1.0185999999999999</v>
          </cell>
          <cell r="G223">
            <v>1</v>
          </cell>
          <cell r="H223">
            <v>1.0185999999999999</v>
          </cell>
          <cell r="I223">
            <v>1.2977000000000001</v>
          </cell>
          <cell r="J223">
            <v>1</v>
          </cell>
          <cell r="K223">
            <v>0</v>
          </cell>
          <cell r="L223">
            <v>0</v>
          </cell>
          <cell r="M223">
            <v>0</v>
          </cell>
        </row>
        <row r="224">
          <cell r="A224">
            <v>40579</v>
          </cell>
          <cell r="B224">
            <v>3.7408000000000001</v>
          </cell>
          <cell r="C224">
            <v>1</v>
          </cell>
          <cell r="D224">
            <v>31.41</v>
          </cell>
          <cell r="E224">
            <v>7.3967999999999998</v>
          </cell>
          <cell r="F224">
            <v>1.0185999999999999</v>
          </cell>
          <cell r="G224">
            <v>1</v>
          </cell>
          <cell r="H224">
            <v>1.0185999999999999</v>
          </cell>
          <cell r="I224">
            <v>1.2977000000000001</v>
          </cell>
          <cell r="J224">
            <v>1</v>
          </cell>
          <cell r="K224">
            <v>0</v>
          </cell>
          <cell r="L224">
            <v>0</v>
          </cell>
          <cell r="M224">
            <v>0</v>
          </cell>
        </row>
        <row r="225">
          <cell r="A225">
            <v>40580</v>
          </cell>
          <cell r="B225">
            <v>3.7408000000000001</v>
          </cell>
          <cell r="C225">
            <v>1</v>
          </cell>
          <cell r="D225">
            <v>31.41</v>
          </cell>
          <cell r="E225">
            <v>7.3967999999999998</v>
          </cell>
          <cell r="F225">
            <v>1.0185999999999999</v>
          </cell>
          <cell r="G225">
            <v>1</v>
          </cell>
          <cell r="H225">
            <v>1.0185999999999999</v>
          </cell>
          <cell r="I225">
            <v>1.2977000000000001</v>
          </cell>
          <cell r="J225">
            <v>1</v>
          </cell>
          <cell r="K225">
            <v>0</v>
          </cell>
          <cell r="L225">
            <v>0</v>
          </cell>
          <cell r="M225">
            <v>0</v>
          </cell>
        </row>
        <row r="226">
          <cell r="A226">
            <v>40581</v>
          </cell>
          <cell r="B226">
            <v>3.7221000000000002</v>
          </cell>
          <cell r="C226">
            <v>1</v>
          </cell>
          <cell r="D226">
            <v>31.25</v>
          </cell>
          <cell r="E226">
            <v>7.3452999999999999</v>
          </cell>
          <cell r="F226">
            <v>1.0135000000000001</v>
          </cell>
          <cell r="G226">
            <v>1</v>
          </cell>
          <cell r="H226">
            <v>1.0135000000000001</v>
          </cell>
          <cell r="I226">
            <v>1.2926</v>
          </cell>
          <cell r="J226">
            <v>1</v>
          </cell>
          <cell r="K226">
            <v>0</v>
          </cell>
          <cell r="L226">
            <v>0</v>
          </cell>
          <cell r="M226">
            <v>0</v>
          </cell>
        </row>
        <row r="227">
          <cell r="A227">
            <v>40582</v>
          </cell>
          <cell r="B227">
            <v>3.7260999999999997</v>
          </cell>
          <cell r="C227">
            <v>1</v>
          </cell>
          <cell r="D227">
            <v>31.15</v>
          </cell>
          <cell r="E227">
            <v>7.3345000000000002</v>
          </cell>
          <cell r="F227">
            <v>1.0145999999999999</v>
          </cell>
          <cell r="G227">
            <v>1</v>
          </cell>
          <cell r="H227">
            <v>1.0145999999999999</v>
          </cell>
          <cell r="I227">
            <v>1.2919</v>
          </cell>
          <cell r="J227">
            <v>1</v>
          </cell>
          <cell r="K227">
            <v>0</v>
          </cell>
          <cell r="L227">
            <v>0</v>
          </cell>
          <cell r="M227">
            <v>0</v>
          </cell>
        </row>
        <row r="228">
          <cell r="A228">
            <v>40583</v>
          </cell>
          <cell r="B228">
            <v>3.7213000000000003</v>
          </cell>
          <cell r="C228">
            <v>1</v>
          </cell>
          <cell r="D228">
            <v>31.12</v>
          </cell>
          <cell r="E228">
            <v>7.3032000000000004</v>
          </cell>
          <cell r="F228">
            <v>1.0133000000000001</v>
          </cell>
          <cell r="G228">
            <v>1</v>
          </cell>
          <cell r="H228">
            <v>1.0133000000000001</v>
          </cell>
          <cell r="I228">
            <v>1.2911000000000001</v>
          </cell>
          <cell r="J228">
            <v>1</v>
          </cell>
          <cell r="K228">
            <v>0</v>
          </cell>
          <cell r="L228">
            <v>0</v>
          </cell>
          <cell r="M228">
            <v>0</v>
          </cell>
        </row>
        <row r="229">
          <cell r="A229">
            <v>40584</v>
          </cell>
          <cell r="B229">
            <v>3.6997</v>
          </cell>
          <cell r="C229">
            <v>1</v>
          </cell>
          <cell r="D229">
            <v>30.98</v>
          </cell>
          <cell r="E229">
            <v>7.2817999999999996</v>
          </cell>
          <cell r="F229">
            <v>1.0074000000000001</v>
          </cell>
          <cell r="G229">
            <v>1</v>
          </cell>
          <cell r="H229">
            <v>1.0074000000000001</v>
          </cell>
          <cell r="I229">
            <v>1.2850999999999999</v>
          </cell>
          <cell r="J229">
            <v>1</v>
          </cell>
          <cell r="K229">
            <v>0</v>
          </cell>
          <cell r="L229">
            <v>0</v>
          </cell>
          <cell r="M229">
            <v>0</v>
          </cell>
        </row>
        <row r="230">
          <cell r="A230">
            <v>40585</v>
          </cell>
          <cell r="B230">
            <v>3.6692</v>
          </cell>
          <cell r="C230">
            <v>1</v>
          </cell>
          <cell r="D230">
            <v>30.79</v>
          </cell>
          <cell r="E230">
            <v>7.2733999999999996</v>
          </cell>
          <cell r="F230">
            <v>0.99909999999999999</v>
          </cell>
          <cell r="G230">
            <v>1</v>
          </cell>
          <cell r="H230">
            <v>0.99909999999999999</v>
          </cell>
          <cell r="I230">
            <v>1.2801</v>
          </cell>
          <cell r="J230">
            <v>1</v>
          </cell>
          <cell r="K230">
            <v>0</v>
          </cell>
          <cell r="L230">
            <v>0</v>
          </cell>
          <cell r="M230">
            <v>0</v>
          </cell>
        </row>
        <row r="231">
          <cell r="A231">
            <v>40586</v>
          </cell>
          <cell r="B231">
            <v>3.6692</v>
          </cell>
          <cell r="C231">
            <v>1</v>
          </cell>
          <cell r="D231">
            <v>30.79</v>
          </cell>
          <cell r="E231">
            <v>7.2733999999999996</v>
          </cell>
          <cell r="F231">
            <v>0.99909999999999999</v>
          </cell>
          <cell r="G231">
            <v>1</v>
          </cell>
          <cell r="H231">
            <v>0.99909999999999999</v>
          </cell>
          <cell r="I231">
            <v>1.2801</v>
          </cell>
          <cell r="J231">
            <v>1</v>
          </cell>
          <cell r="K231">
            <v>0</v>
          </cell>
          <cell r="L231">
            <v>0</v>
          </cell>
          <cell r="M231">
            <v>0</v>
          </cell>
        </row>
        <row r="232">
          <cell r="A232">
            <v>40587</v>
          </cell>
          <cell r="B232">
            <v>3.6692</v>
          </cell>
          <cell r="C232">
            <v>1</v>
          </cell>
          <cell r="D232">
            <v>30.79</v>
          </cell>
          <cell r="E232">
            <v>7.2733999999999996</v>
          </cell>
          <cell r="F232">
            <v>0.99909999999999999</v>
          </cell>
          <cell r="G232">
            <v>1</v>
          </cell>
          <cell r="H232">
            <v>0.99909999999999999</v>
          </cell>
          <cell r="I232">
            <v>1.2801</v>
          </cell>
          <cell r="J232">
            <v>1</v>
          </cell>
          <cell r="K232">
            <v>0</v>
          </cell>
          <cell r="L232">
            <v>0</v>
          </cell>
          <cell r="M232">
            <v>0</v>
          </cell>
        </row>
        <row r="233">
          <cell r="A233">
            <v>40588</v>
          </cell>
          <cell r="B233">
            <v>3.6871999999999998</v>
          </cell>
          <cell r="C233">
            <v>1</v>
          </cell>
          <cell r="D233">
            <v>30.89</v>
          </cell>
          <cell r="E233">
            <v>7.2933000000000003</v>
          </cell>
          <cell r="F233">
            <v>1.004</v>
          </cell>
          <cell r="G233">
            <v>1</v>
          </cell>
          <cell r="H233">
            <v>1.004</v>
          </cell>
          <cell r="I233">
            <v>1.286</v>
          </cell>
          <cell r="J233">
            <v>1</v>
          </cell>
          <cell r="K233">
            <v>0</v>
          </cell>
          <cell r="L233">
            <v>0</v>
          </cell>
          <cell r="M233">
            <v>0</v>
          </cell>
        </row>
        <row r="234">
          <cell r="A234">
            <v>40589</v>
          </cell>
          <cell r="B234">
            <v>3.6882999999999999</v>
          </cell>
          <cell r="C234">
            <v>1</v>
          </cell>
          <cell r="D234">
            <v>30.84</v>
          </cell>
          <cell r="E234">
            <v>7.3090999999999999</v>
          </cell>
          <cell r="F234">
            <v>1.0043</v>
          </cell>
          <cell r="G234">
            <v>1</v>
          </cell>
          <cell r="H234">
            <v>1.0043</v>
          </cell>
          <cell r="I234">
            <v>1.2854000000000001</v>
          </cell>
          <cell r="J234">
            <v>1</v>
          </cell>
          <cell r="K234">
            <v>0</v>
          </cell>
          <cell r="L234">
            <v>0</v>
          </cell>
          <cell r="M234">
            <v>0</v>
          </cell>
        </row>
        <row r="235">
          <cell r="A235">
            <v>40590</v>
          </cell>
          <cell r="B235">
            <v>3.6718000000000002</v>
          </cell>
          <cell r="C235">
            <v>1</v>
          </cell>
          <cell r="D235">
            <v>30.68</v>
          </cell>
          <cell r="E235">
            <v>7.3178999999999998</v>
          </cell>
          <cell r="F235">
            <v>0.99980000000000002</v>
          </cell>
          <cell r="G235">
            <v>1</v>
          </cell>
          <cell r="H235">
            <v>0.99980000000000002</v>
          </cell>
          <cell r="I235">
            <v>1.2795000000000001</v>
          </cell>
          <cell r="J235">
            <v>1</v>
          </cell>
          <cell r="K235">
            <v>0</v>
          </cell>
          <cell r="L235">
            <v>0</v>
          </cell>
          <cell r="M235">
            <v>0</v>
          </cell>
        </row>
        <row r="236">
          <cell r="A236">
            <v>40591</v>
          </cell>
          <cell r="B236">
            <v>3.6854</v>
          </cell>
          <cell r="C236">
            <v>1</v>
          </cell>
          <cell r="D236">
            <v>30.74</v>
          </cell>
          <cell r="E236">
            <v>7.2732999999999999</v>
          </cell>
          <cell r="F236">
            <v>1.0035000000000001</v>
          </cell>
          <cell r="G236">
            <v>1</v>
          </cell>
          <cell r="H236">
            <v>1.0035000000000001</v>
          </cell>
          <cell r="I236">
            <v>1.2829999999999999</v>
          </cell>
          <cell r="J236">
            <v>1</v>
          </cell>
          <cell r="K236">
            <v>0</v>
          </cell>
          <cell r="L236">
            <v>0</v>
          </cell>
          <cell r="M236">
            <v>0</v>
          </cell>
        </row>
        <row r="237">
          <cell r="A237">
            <v>40592</v>
          </cell>
          <cell r="B237">
            <v>3.7187999999999999</v>
          </cell>
          <cell r="C237">
            <v>1</v>
          </cell>
          <cell r="D237">
            <v>31.01</v>
          </cell>
          <cell r="E237">
            <v>7.2727000000000004</v>
          </cell>
          <cell r="F237">
            <v>1.0125999999999999</v>
          </cell>
          <cell r="G237">
            <v>1</v>
          </cell>
          <cell r="H237">
            <v>1.0125999999999999</v>
          </cell>
          <cell r="I237">
            <v>1.2917000000000001</v>
          </cell>
          <cell r="J237">
            <v>1</v>
          </cell>
          <cell r="K237">
            <v>0</v>
          </cell>
          <cell r="L237">
            <v>0</v>
          </cell>
          <cell r="M237">
            <v>0</v>
          </cell>
        </row>
        <row r="238">
          <cell r="A238">
            <v>40593</v>
          </cell>
          <cell r="B238">
            <v>3.7187999999999999</v>
          </cell>
          <cell r="C238">
            <v>1</v>
          </cell>
          <cell r="D238">
            <v>31.01</v>
          </cell>
          <cell r="E238">
            <v>7.2727000000000004</v>
          </cell>
          <cell r="F238">
            <v>1.0125999999999999</v>
          </cell>
          <cell r="G238">
            <v>1</v>
          </cell>
          <cell r="H238">
            <v>1.0125999999999999</v>
          </cell>
          <cell r="I238">
            <v>1.2917000000000001</v>
          </cell>
          <cell r="J238">
            <v>1</v>
          </cell>
          <cell r="K238">
            <v>0</v>
          </cell>
          <cell r="L238">
            <v>0</v>
          </cell>
          <cell r="M238">
            <v>0</v>
          </cell>
        </row>
        <row r="239">
          <cell r="A239">
            <v>40594</v>
          </cell>
          <cell r="B239">
            <v>3.7187999999999999</v>
          </cell>
          <cell r="C239">
            <v>1</v>
          </cell>
          <cell r="D239">
            <v>31.01</v>
          </cell>
          <cell r="E239">
            <v>7.2727000000000004</v>
          </cell>
          <cell r="F239">
            <v>1.0125999999999999</v>
          </cell>
          <cell r="G239">
            <v>1</v>
          </cell>
          <cell r="H239">
            <v>1.0125999999999999</v>
          </cell>
          <cell r="I239">
            <v>1.2917000000000001</v>
          </cell>
          <cell r="J239">
            <v>1</v>
          </cell>
          <cell r="K239">
            <v>0</v>
          </cell>
          <cell r="L239">
            <v>0</v>
          </cell>
          <cell r="M239">
            <v>0</v>
          </cell>
        </row>
        <row r="240">
          <cell r="A240">
            <v>40595</v>
          </cell>
          <cell r="B240">
            <v>3.7155</v>
          </cell>
          <cell r="C240">
            <v>1</v>
          </cell>
          <cell r="D240">
            <v>30.93</v>
          </cell>
          <cell r="E240">
            <v>7.2229999999999999</v>
          </cell>
          <cell r="F240">
            <v>1.0117</v>
          </cell>
          <cell r="G240">
            <v>1</v>
          </cell>
          <cell r="H240">
            <v>1.0117</v>
          </cell>
          <cell r="I240">
            <v>1.2901</v>
          </cell>
          <cell r="J240">
            <v>1</v>
          </cell>
          <cell r="K240">
            <v>0</v>
          </cell>
          <cell r="L240">
            <v>0</v>
          </cell>
          <cell r="M240">
            <v>0</v>
          </cell>
        </row>
        <row r="241">
          <cell r="A241">
            <v>40596</v>
          </cell>
          <cell r="B241">
            <v>3.6861000000000002</v>
          </cell>
          <cell r="C241">
            <v>1</v>
          </cell>
          <cell r="D241">
            <v>30.76</v>
          </cell>
          <cell r="E241">
            <v>7.2142999999999997</v>
          </cell>
          <cell r="F241">
            <v>1.0037</v>
          </cell>
          <cell r="G241">
            <v>1</v>
          </cell>
          <cell r="H241">
            <v>1.0037</v>
          </cell>
          <cell r="I241">
            <v>1.2862</v>
          </cell>
          <cell r="J241">
            <v>1</v>
          </cell>
          <cell r="K241">
            <v>0</v>
          </cell>
          <cell r="L241">
            <v>0</v>
          </cell>
          <cell r="M241">
            <v>0</v>
          </cell>
        </row>
        <row r="242">
          <cell r="A242">
            <v>40597</v>
          </cell>
          <cell r="B242">
            <v>3.6795</v>
          </cell>
          <cell r="C242">
            <v>1</v>
          </cell>
          <cell r="D242">
            <v>30.66</v>
          </cell>
          <cell r="E242">
            <v>7.1532</v>
          </cell>
          <cell r="F242">
            <v>1.0019</v>
          </cell>
          <cell r="G242">
            <v>1</v>
          </cell>
          <cell r="H242">
            <v>1.0019</v>
          </cell>
          <cell r="I242">
            <v>1.2806999999999999</v>
          </cell>
          <cell r="J242">
            <v>1</v>
          </cell>
          <cell r="K242">
            <v>0</v>
          </cell>
          <cell r="L242">
            <v>0</v>
          </cell>
          <cell r="M242">
            <v>0</v>
          </cell>
        </row>
        <row r="243">
          <cell r="A243">
            <v>40598</v>
          </cell>
          <cell r="B243">
            <v>3.7</v>
          </cell>
          <cell r="C243">
            <v>1</v>
          </cell>
          <cell r="D243">
            <v>30.85</v>
          </cell>
          <cell r="E243">
            <v>7.1627999999999998</v>
          </cell>
          <cell r="F243">
            <v>1.0075000000000001</v>
          </cell>
          <cell r="G243">
            <v>1</v>
          </cell>
          <cell r="H243">
            <v>1.0075000000000001</v>
          </cell>
          <cell r="I243">
            <v>1.2862</v>
          </cell>
          <cell r="J243">
            <v>1</v>
          </cell>
          <cell r="K243">
            <v>0</v>
          </cell>
          <cell r="L243">
            <v>0</v>
          </cell>
          <cell r="M243">
            <v>0</v>
          </cell>
        </row>
        <row r="244">
          <cell r="A244">
            <v>40599</v>
          </cell>
          <cell r="B244">
            <v>3.7217000000000002</v>
          </cell>
          <cell r="C244">
            <v>1</v>
          </cell>
          <cell r="D244">
            <v>31.03</v>
          </cell>
          <cell r="E244">
            <v>7.1520999999999999</v>
          </cell>
          <cell r="F244">
            <v>1.0134000000000001</v>
          </cell>
          <cell r="G244">
            <v>1</v>
          </cell>
          <cell r="H244">
            <v>1.0134000000000001</v>
          </cell>
          <cell r="I244">
            <v>1.2925</v>
          </cell>
          <cell r="J244">
            <v>1</v>
          </cell>
          <cell r="K244">
            <v>0</v>
          </cell>
          <cell r="L244">
            <v>0</v>
          </cell>
          <cell r="M244">
            <v>0</v>
          </cell>
        </row>
        <row r="245">
          <cell r="A245">
            <v>40600</v>
          </cell>
          <cell r="B245">
            <v>3.7217000000000002</v>
          </cell>
          <cell r="C245">
            <v>1</v>
          </cell>
          <cell r="D245">
            <v>31.03</v>
          </cell>
          <cell r="E245">
            <v>7.1520999999999999</v>
          </cell>
          <cell r="F245">
            <v>1.0134000000000001</v>
          </cell>
          <cell r="G245">
            <v>1</v>
          </cell>
          <cell r="H245">
            <v>1.0134000000000001</v>
          </cell>
          <cell r="I245">
            <v>1.2925</v>
          </cell>
          <cell r="J245">
            <v>1</v>
          </cell>
          <cell r="K245">
            <v>0</v>
          </cell>
          <cell r="L245">
            <v>0</v>
          </cell>
          <cell r="M245">
            <v>0</v>
          </cell>
        </row>
        <row r="246">
          <cell r="A246">
            <v>40601</v>
          </cell>
          <cell r="B246">
            <v>3.7217000000000002</v>
          </cell>
          <cell r="C246">
            <v>1</v>
          </cell>
          <cell r="D246">
            <v>31.03</v>
          </cell>
          <cell r="E246">
            <v>7.1520999999999999</v>
          </cell>
          <cell r="F246">
            <v>1.0134000000000001</v>
          </cell>
          <cell r="G246">
            <v>1</v>
          </cell>
          <cell r="H246">
            <v>1.0134000000000001</v>
          </cell>
          <cell r="I246">
            <v>1.2925</v>
          </cell>
          <cell r="J246">
            <v>1</v>
          </cell>
          <cell r="K246">
            <v>0</v>
          </cell>
          <cell r="L246">
            <v>0</v>
          </cell>
          <cell r="M246">
            <v>0</v>
          </cell>
        </row>
        <row r="247">
          <cell r="A247">
            <v>40602</v>
          </cell>
          <cell r="B247">
            <v>3.7324000000000002</v>
          </cell>
          <cell r="C247">
            <v>1</v>
          </cell>
          <cell r="D247">
            <v>31.09</v>
          </cell>
          <cell r="E247">
            <v>7.1276999999999999</v>
          </cell>
          <cell r="F247">
            <v>1.0163</v>
          </cell>
          <cell r="G247">
            <v>1</v>
          </cell>
          <cell r="H247">
            <v>1.0163</v>
          </cell>
          <cell r="I247">
            <v>1.2934000000000001</v>
          </cell>
          <cell r="J247">
            <v>1</v>
          </cell>
          <cell r="K247">
            <v>0</v>
          </cell>
          <cell r="L247">
            <v>0</v>
          </cell>
          <cell r="M247">
            <v>0</v>
          </cell>
        </row>
        <row r="248">
          <cell r="A248">
            <v>40603</v>
          </cell>
          <cell r="B248">
            <v>3.7298</v>
          </cell>
          <cell r="C248">
            <v>1</v>
          </cell>
          <cell r="D248">
            <v>31.08</v>
          </cell>
          <cell r="E248">
            <v>7.0728</v>
          </cell>
          <cell r="F248">
            <v>1.0156000000000001</v>
          </cell>
          <cell r="G248">
            <v>1</v>
          </cell>
          <cell r="H248">
            <v>1.0156000000000001</v>
          </cell>
          <cell r="I248">
            <v>1.2905</v>
          </cell>
          <cell r="J248">
            <v>1</v>
          </cell>
          <cell r="K248">
            <v>0</v>
          </cell>
          <cell r="L248">
            <v>0</v>
          </cell>
          <cell r="M248">
            <v>0</v>
          </cell>
        </row>
        <row r="249">
          <cell r="A249">
            <v>40604</v>
          </cell>
          <cell r="B249">
            <v>3.7063000000000001</v>
          </cell>
          <cell r="C249">
            <v>1</v>
          </cell>
          <cell r="D249">
            <v>30.82</v>
          </cell>
          <cell r="E249">
            <v>7.0629</v>
          </cell>
          <cell r="F249">
            <v>1.0092000000000001</v>
          </cell>
          <cell r="G249">
            <v>1</v>
          </cell>
          <cell r="H249">
            <v>1.0092000000000001</v>
          </cell>
          <cell r="I249">
            <v>1.2846</v>
          </cell>
          <cell r="J249">
            <v>1</v>
          </cell>
          <cell r="K249">
            <v>0</v>
          </cell>
          <cell r="L249">
            <v>0</v>
          </cell>
          <cell r="M249">
            <v>0</v>
          </cell>
        </row>
        <row r="250">
          <cell r="A250">
            <v>40605</v>
          </cell>
          <cell r="B250">
            <v>3.7286999999999999</v>
          </cell>
          <cell r="C250">
            <v>1</v>
          </cell>
          <cell r="D250">
            <v>30.97</v>
          </cell>
          <cell r="E250">
            <v>6.9930000000000003</v>
          </cell>
          <cell r="F250">
            <v>1.0153000000000001</v>
          </cell>
          <cell r="G250">
            <v>1</v>
          </cell>
          <cell r="H250">
            <v>1.0153000000000001</v>
          </cell>
          <cell r="I250">
            <v>1.2884</v>
          </cell>
          <cell r="J250">
            <v>1</v>
          </cell>
          <cell r="K250">
            <v>0</v>
          </cell>
          <cell r="L250">
            <v>0</v>
          </cell>
          <cell r="M250">
            <v>0</v>
          </cell>
        </row>
        <row r="251">
          <cell r="A251">
            <v>40606</v>
          </cell>
          <cell r="B251">
            <v>3.7235</v>
          </cell>
          <cell r="C251">
            <v>1</v>
          </cell>
          <cell r="D251">
            <v>30.9</v>
          </cell>
          <cell r="E251">
            <v>7.0148999999999999</v>
          </cell>
          <cell r="F251">
            <v>1.0139</v>
          </cell>
          <cell r="G251">
            <v>1</v>
          </cell>
          <cell r="H251">
            <v>1.0139</v>
          </cell>
          <cell r="I251">
            <v>1.2852000000000001</v>
          </cell>
          <cell r="J251">
            <v>1</v>
          </cell>
          <cell r="K251">
            <v>0</v>
          </cell>
          <cell r="L251">
            <v>0</v>
          </cell>
          <cell r="M251">
            <v>0</v>
          </cell>
        </row>
        <row r="252">
          <cell r="A252">
            <v>40607</v>
          </cell>
          <cell r="B252">
            <v>3.7235</v>
          </cell>
          <cell r="C252">
            <v>1</v>
          </cell>
          <cell r="D252">
            <v>30.9</v>
          </cell>
          <cell r="E252">
            <v>7.0148999999999999</v>
          </cell>
          <cell r="F252">
            <v>1.0139</v>
          </cell>
          <cell r="G252">
            <v>1</v>
          </cell>
          <cell r="H252">
            <v>1.0139</v>
          </cell>
          <cell r="I252">
            <v>1.2852000000000001</v>
          </cell>
          <cell r="J252">
            <v>1</v>
          </cell>
          <cell r="K252">
            <v>0</v>
          </cell>
          <cell r="L252">
            <v>0</v>
          </cell>
          <cell r="M252">
            <v>0</v>
          </cell>
        </row>
        <row r="253">
          <cell r="A253">
            <v>40608</v>
          </cell>
          <cell r="B253">
            <v>3.7235</v>
          </cell>
          <cell r="C253">
            <v>1</v>
          </cell>
          <cell r="D253">
            <v>30.9</v>
          </cell>
          <cell r="E253">
            <v>7.0148999999999999</v>
          </cell>
          <cell r="F253">
            <v>1.0139</v>
          </cell>
          <cell r="G253">
            <v>1</v>
          </cell>
          <cell r="H253">
            <v>1.0139</v>
          </cell>
          <cell r="I253">
            <v>1.2852000000000001</v>
          </cell>
          <cell r="J253">
            <v>1</v>
          </cell>
          <cell r="K253">
            <v>0</v>
          </cell>
          <cell r="L253">
            <v>0</v>
          </cell>
          <cell r="M253">
            <v>0</v>
          </cell>
        </row>
        <row r="254">
          <cell r="A254">
            <v>40609</v>
          </cell>
          <cell r="B254">
            <v>3.7191000000000001</v>
          </cell>
          <cell r="C254">
            <v>1</v>
          </cell>
          <cell r="D254">
            <v>30.84</v>
          </cell>
          <cell r="E254">
            <v>6.9607000000000001</v>
          </cell>
          <cell r="F254">
            <v>1.0126999999999999</v>
          </cell>
          <cell r="G254">
            <v>1</v>
          </cell>
          <cell r="H254">
            <v>1.0126999999999999</v>
          </cell>
          <cell r="I254">
            <v>1.2825</v>
          </cell>
          <cell r="J254">
            <v>1</v>
          </cell>
          <cell r="K254">
            <v>0</v>
          </cell>
          <cell r="L254">
            <v>0</v>
          </cell>
          <cell r="M254">
            <v>0</v>
          </cell>
        </row>
        <row r="255">
          <cell r="A255">
            <v>40610</v>
          </cell>
          <cell r="B255">
            <v>3.7176999999999998</v>
          </cell>
          <cell r="C255">
            <v>1</v>
          </cell>
          <cell r="D255">
            <v>30.78</v>
          </cell>
          <cell r="E255">
            <v>6.9648000000000003</v>
          </cell>
          <cell r="F255">
            <v>1.0123</v>
          </cell>
          <cell r="G255">
            <v>1</v>
          </cell>
          <cell r="H255">
            <v>1.0123</v>
          </cell>
          <cell r="I255">
            <v>1.2823</v>
          </cell>
          <cell r="J255">
            <v>1</v>
          </cell>
          <cell r="K255">
            <v>0</v>
          </cell>
          <cell r="L255">
            <v>0</v>
          </cell>
          <cell r="M255">
            <v>0</v>
          </cell>
        </row>
        <row r="256">
          <cell r="A256">
            <v>40611</v>
          </cell>
          <cell r="B256">
            <v>3.6974999999999998</v>
          </cell>
          <cell r="C256">
            <v>1</v>
          </cell>
          <cell r="D256">
            <v>30.53</v>
          </cell>
          <cell r="E256">
            <v>6.9420999999999999</v>
          </cell>
          <cell r="F256">
            <v>1.0067999999999999</v>
          </cell>
          <cell r="G256">
            <v>1</v>
          </cell>
          <cell r="H256">
            <v>1.0067999999999999</v>
          </cell>
          <cell r="I256">
            <v>1.2781</v>
          </cell>
          <cell r="J256">
            <v>1</v>
          </cell>
          <cell r="K256">
            <v>0</v>
          </cell>
          <cell r="L256">
            <v>0</v>
          </cell>
          <cell r="M256">
            <v>0</v>
          </cell>
        </row>
        <row r="257">
          <cell r="A257">
            <v>40612</v>
          </cell>
          <cell r="B257">
            <v>3.6909000000000001</v>
          </cell>
          <cell r="C257">
            <v>1</v>
          </cell>
          <cell r="D257">
            <v>30.44</v>
          </cell>
          <cell r="E257">
            <v>6.9269999999999996</v>
          </cell>
          <cell r="F257">
            <v>1.0049999999999999</v>
          </cell>
          <cell r="G257">
            <v>1</v>
          </cell>
          <cell r="H257">
            <v>1.0049999999999999</v>
          </cell>
          <cell r="I257">
            <v>1.2776000000000001</v>
          </cell>
          <cell r="J257">
            <v>1</v>
          </cell>
          <cell r="K257">
            <v>0</v>
          </cell>
          <cell r="L257">
            <v>0</v>
          </cell>
          <cell r="M257">
            <v>0</v>
          </cell>
        </row>
        <row r="258">
          <cell r="A258">
            <v>40613</v>
          </cell>
          <cell r="B258">
            <v>3.6842999999999999</v>
          </cell>
          <cell r="C258">
            <v>1</v>
          </cell>
          <cell r="D258">
            <v>30.5</v>
          </cell>
          <cell r="E258">
            <v>6.9340999999999999</v>
          </cell>
          <cell r="F258">
            <v>1.0032000000000001</v>
          </cell>
          <cell r="G258">
            <v>1</v>
          </cell>
          <cell r="H258">
            <v>1.0032000000000001</v>
          </cell>
          <cell r="I258">
            <v>1.2756000000000001</v>
          </cell>
          <cell r="J258">
            <v>1</v>
          </cell>
          <cell r="K258">
            <v>0</v>
          </cell>
          <cell r="L258">
            <v>0</v>
          </cell>
          <cell r="M258">
            <v>0</v>
          </cell>
        </row>
        <row r="259">
          <cell r="A259">
            <v>40614</v>
          </cell>
          <cell r="B259">
            <v>3.6842999999999999</v>
          </cell>
          <cell r="C259">
            <v>1</v>
          </cell>
          <cell r="D259">
            <v>30.5</v>
          </cell>
          <cell r="E259">
            <v>6.9340999999999999</v>
          </cell>
          <cell r="F259">
            <v>1.0032000000000001</v>
          </cell>
          <cell r="G259">
            <v>1</v>
          </cell>
          <cell r="H259">
            <v>1.0032000000000001</v>
          </cell>
          <cell r="I259">
            <v>1.2756000000000001</v>
          </cell>
          <cell r="J259">
            <v>1</v>
          </cell>
          <cell r="K259">
            <v>0</v>
          </cell>
          <cell r="L259">
            <v>0</v>
          </cell>
          <cell r="M259">
            <v>0</v>
          </cell>
        </row>
        <row r="260">
          <cell r="A260">
            <v>40615</v>
          </cell>
          <cell r="B260">
            <v>3.6842999999999999</v>
          </cell>
          <cell r="C260">
            <v>1</v>
          </cell>
          <cell r="D260">
            <v>30.5</v>
          </cell>
          <cell r="E260">
            <v>6.9340999999999999</v>
          </cell>
          <cell r="F260">
            <v>1.0032000000000001</v>
          </cell>
          <cell r="G260">
            <v>1</v>
          </cell>
          <cell r="H260">
            <v>1.0032000000000001</v>
          </cell>
          <cell r="I260">
            <v>1.2756000000000001</v>
          </cell>
          <cell r="J260">
            <v>1</v>
          </cell>
          <cell r="K260">
            <v>0</v>
          </cell>
          <cell r="L260">
            <v>0</v>
          </cell>
          <cell r="M260">
            <v>0</v>
          </cell>
        </row>
        <row r="261">
          <cell r="A261">
            <v>40616</v>
          </cell>
          <cell r="B261">
            <v>3.7004000000000001</v>
          </cell>
          <cell r="C261">
            <v>1</v>
          </cell>
          <cell r="D261">
            <v>30.61</v>
          </cell>
          <cell r="E261">
            <v>6.9786000000000001</v>
          </cell>
          <cell r="F261">
            <v>1.0076000000000001</v>
          </cell>
          <cell r="G261">
            <v>1</v>
          </cell>
          <cell r="H261">
            <v>1.0076000000000001</v>
          </cell>
          <cell r="I261">
            <v>1.2808999999999999</v>
          </cell>
          <cell r="J261">
            <v>1</v>
          </cell>
          <cell r="K261">
            <v>0</v>
          </cell>
          <cell r="L261">
            <v>0</v>
          </cell>
          <cell r="M261">
            <v>0</v>
          </cell>
        </row>
        <row r="262">
          <cell r="A262">
            <v>40617</v>
          </cell>
          <cell r="B262">
            <v>3.6593</v>
          </cell>
          <cell r="C262">
            <v>1</v>
          </cell>
          <cell r="D262">
            <v>30.39</v>
          </cell>
          <cell r="E262">
            <v>6.8616999999999999</v>
          </cell>
          <cell r="F262">
            <v>0.99639999999999995</v>
          </cell>
          <cell r="G262">
            <v>1</v>
          </cell>
          <cell r="H262">
            <v>0.99639999999999995</v>
          </cell>
          <cell r="I262">
            <v>1.2718</v>
          </cell>
          <cell r="J262">
            <v>1</v>
          </cell>
          <cell r="K262">
            <v>0</v>
          </cell>
          <cell r="L262">
            <v>0</v>
          </cell>
          <cell r="M262">
            <v>0</v>
          </cell>
        </row>
        <row r="263">
          <cell r="A263">
            <v>40618</v>
          </cell>
          <cell r="B263">
            <v>3.6394000000000002</v>
          </cell>
          <cell r="C263">
            <v>1</v>
          </cell>
          <cell r="D263">
            <v>30.2</v>
          </cell>
          <cell r="E263">
            <v>6.9061000000000003</v>
          </cell>
          <cell r="F263">
            <v>0.99099999999999999</v>
          </cell>
          <cell r="G263">
            <v>1</v>
          </cell>
          <cell r="H263">
            <v>0.99099999999999999</v>
          </cell>
          <cell r="I263">
            <v>1.2667999999999999</v>
          </cell>
          <cell r="J263">
            <v>1</v>
          </cell>
          <cell r="K263">
            <v>0</v>
          </cell>
          <cell r="L263">
            <v>0</v>
          </cell>
          <cell r="M263">
            <v>0</v>
          </cell>
        </row>
        <row r="264">
          <cell r="A264">
            <v>40619</v>
          </cell>
          <cell r="B264">
            <v>3.5968</v>
          </cell>
          <cell r="C264">
            <v>1</v>
          </cell>
          <cell r="D264">
            <v>29.72</v>
          </cell>
          <cell r="E264">
            <v>6.9961000000000002</v>
          </cell>
          <cell r="F264">
            <v>0.97940000000000005</v>
          </cell>
          <cell r="G264">
            <v>1</v>
          </cell>
          <cell r="H264">
            <v>0.97940000000000005</v>
          </cell>
          <cell r="I264">
            <v>1.2558</v>
          </cell>
          <cell r="J264">
            <v>1</v>
          </cell>
          <cell r="K264">
            <v>0</v>
          </cell>
          <cell r="L264">
            <v>0</v>
          </cell>
          <cell r="M264">
            <v>0</v>
          </cell>
        </row>
        <row r="265">
          <cell r="A265">
            <v>40620</v>
          </cell>
          <cell r="B265">
            <v>3.649</v>
          </cell>
          <cell r="C265">
            <v>1</v>
          </cell>
          <cell r="D265">
            <v>30.12</v>
          </cell>
          <cell r="E265">
            <v>7.0148000000000001</v>
          </cell>
          <cell r="F265">
            <v>0.99360000000000004</v>
          </cell>
          <cell r="G265">
            <v>1</v>
          </cell>
          <cell r="H265">
            <v>0.99360000000000004</v>
          </cell>
          <cell r="I265">
            <v>1.2645</v>
          </cell>
          <cell r="J265">
            <v>1</v>
          </cell>
          <cell r="K265">
            <v>0</v>
          </cell>
          <cell r="L265">
            <v>0</v>
          </cell>
          <cell r="M265">
            <v>0</v>
          </cell>
        </row>
        <row r="266">
          <cell r="A266">
            <v>40621</v>
          </cell>
          <cell r="B266">
            <v>3.649</v>
          </cell>
          <cell r="C266">
            <v>1</v>
          </cell>
          <cell r="D266">
            <v>30.12</v>
          </cell>
          <cell r="E266">
            <v>7.0148000000000001</v>
          </cell>
          <cell r="F266">
            <v>0.99360000000000004</v>
          </cell>
          <cell r="G266">
            <v>1</v>
          </cell>
          <cell r="H266">
            <v>0.99360000000000004</v>
          </cell>
          <cell r="I266">
            <v>1.2645</v>
          </cell>
          <cell r="J266">
            <v>1</v>
          </cell>
          <cell r="K266">
            <v>0</v>
          </cell>
          <cell r="L266">
            <v>0</v>
          </cell>
          <cell r="M266">
            <v>0</v>
          </cell>
        </row>
        <row r="267">
          <cell r="A267">
            <v>40622</v>
          </cell>
          <cell r="B267">
            <v>3.649</v>
          </cell>
          <cell r="C267">
            <v>1</v>
          </cell>
          <cell r="D267">
            <v>30.12</v>
          </cell>
          <cell r="E267">
            <v>7.0148000000000001</v>
          </cell>
          <cell r="F267">
            <v>0.99360000000000004</v>
          </cell>
          <cell r="G267">
            <v>1</v>
          </cell>
          <cell r="H267">
            <v>0.99360000000000004</v>
          </cell>
          <cell r="I267">
            <v>1.2645</v>
          </cell>
          <cell r="J267">
            <v>1</v>
          </cell>
          <cell r="K267">
            <v>0</v>
          </cell>
          <cell r="L267">
            <v>0</v>
          </cell>
          <cell r="M267">
            <v>0</v>
          </cell>
        </row>
        <row r="268">
          <cell r="A268">
            <v>40623</v>
          </cell>
          <cell r="B268">
            <v>3.6791</v>
          </cell>
          <cell r="C268">
            <v>1</v>
          </cell>
          <cell r="D268">
            <v>30.35</v>
          </cell>
          <cell r="E268">
            <v>7.0050999999999997</v>
          </cell>
          <cell r="F268">
            <v>1.0018</v>
          </cell>
          <cell r="G268">
            <v>1</v>
          </cell>
          <cell r="H268">
            <v>1.0018</v>
          </cell>
          <cell r="I268">
            <v>1.2709999999999999</v>
          </cell>
          <cell r="J268">
            <v>1</v>
          </cell>
          <cell r="K268">
            <v>0</v>
          </cell>
          <cell r="L268">
            <v>0</v>
          </cell>
          <cell r="M268">
            <v>0</v>
          </cell>
        </row>
        <row r="269">
          <cell r="A269">
            <v>40624</v>
          </cell>
          <cell r="B269">
            <v>3.6945000000000001</v>
          </cell>
          <cell r="C269">
            <v>1</v>
          </cell>
          <cell r="D269">
            <v>30.41</v>
          </cell>
          <cell r="E269">
            <v>6.9682000000000004</v>
          </cell>
          <cell r="F269">
            <v>1.006</v>
          </cell>
          <cell r="G269">
            <v>1</v>
          </cell>
          <cell r="H269">
            <v>1.006</v>
          </cell>
          <cell r="I269">
            <v>1.2736000000000001</v>
          </cell>
          <cell r="J269">
            <v>1</v>
          </cell>
          <cell r="K269">
            <v>0</v>
          </cell>
          <cell r="L269">
            <v>0</v>
          </cell>
          <cell r="M269">
            <v>0</v>
          </cell>
        </row>
        <row r="270">
          <cell r="A270">
            <v>40625</v>
          </cell>
          <cell r="B270">
            <v>3.7096</v>
          </cell>
          <cell r="C270">
            <v>1</v>
          </cell>
          <cell r="D270">
            <v>30.55</v>
          </cell>
          <cell r="E270">
            <v>6.9798</v>
          </cell>
          <cell r="F270">
            <v>1.0101</v>
          </cell>
          <cell r="G270">
            <v>1</v>
          </cell>
          <cell r="H270">
            <v>1.0101</v>
          </cell>
          <cell r="I270">
            <v>1.2771999999999999</v>
          </cell>
          <cell r="J270">
            <v>1</v>
          </cell>
          <cell r="K270">
            <v>0</v>
          </cell>
          <cell r="L270">
            <v>0</v>
          </cell>
          <cell r="M270">
            <v>0</v>
          </cell>
        </row>
        <row r="271">
          <cell r="A271">
            <v>40626</v>
          </cell>
          <cell r="B271">
            <v>3.7199</v>
          </cell>
          <cell r="C271">
            <v>1</v>
          </cell>
          <cell r="D271">
            <v>30.7</v>
          </cell>
          <cell r="E271">
            <v>7.0285000000000002</v>
          </cell>
          <cell r="F271">
            <v>1.0128999999999999</v>
          </cell>
          <cell r="G271">
            <v>1</v>
          </cell>
          <cell r="H271">
            <v>1.0128999999999999</v>
          </cell>
          <cell r="I271">
            <v>1.2806</v>
          </cell>
          <cell r="J271">
            <v>1</v>
          </cell>
          <cell r="K271">
            <v>0</v>
          </cell>
          <cell r="L271">
            <v>0</v>
          </cell>
          <cell r="M271">
            <v>0</v>
          </cell>
        </row>
        <row r="272">
          <cell r="A272">
            <v>40627</v>
          </cell>
          <cell r="B272">
            <v>3.7484999999999999</v>
          </cell>
          <cell r="C272">
            <v>1</v>
          </cell>
          <cell r="D272">
            <v>30.87</v>
          </cell>
          <cell r="E272">
            <v>7.0175000000000001</v>
          </cell>
          <cell r="F272">
            <v>1.0206999999999999</v>
          </cell>
          <cell r="G272">
            <v>1</v>
          </cell>
          <cell r="H272">
            <v>1.0206999999999999</v>
          </cell>
          <cell r="I272">
            <v>1.2866</v>
          </cell>
          <cell r="J272">
            <v>1</v>
          </cell>
          <cell r="K272">
            <v>0</v>
          </cell>
          <cell r="L272">
            <v>0</v>
          </cell>
          <cell r="M272">
            <v>0</v>
          </cell>
        </row>
        <row r="273">
          <cell r="A273">
            <v>40628</v>
          </cell>
          <cell r="B273">
            <v>3.7484999999999999</v>
          </cell>
          <cell r="C273">
            <v>1</v>
          </cell>
          <cell r="D273">
            <v>30.87</v>
          </cell>
          <cell r="E273">
            <v>7.0175000000000001</v>
          </cell>
          <cell r="F273">
            <v>1.0206999999999999</v>
          </cell>
          <cell r="G273">
            <v>1</v>
          </cell>
          <cell r="H273">
            <v>1.0206999999999999</v>
          </cell>
          <cell r="I273">
            <v>1.2866</v>
          </cell>
          <cell r="J273">
            <v>1</v>
          </cell>
          <cell r="K273">
            <v>0</v>
          </cell>
          <cell r="L273">
            <v>0</v>
          </cell>
          <cell r="M273">
            <v>0</v>
          </cell>
        </row>
        <row r="274">
          <cell r="A274">
            <v>40629</v>
          </cell>
          <cell r="B274">
            <v>3.7484999999999999</v>
          </cell>
          <cell r="C274">
            <v>1</v>
          </cell>
          <cell r="D274">
            <v>30.87</v>
          </cell>
          <cell r="E274">
            <v>7.0175000000000001</v>
          </cell>
          <cell r="F274">
            <v>1.0206999999999999</v>
          </cell>
          <cell r="G274">
            <v>1</v>
          </cell>
          <cell r="H274">
            <v>1.0206999999999999</v>
          </cell>
          <cell r="I274">
            <v>1.2866</v>
          </cell>
          <cell r="J274">
            <v>1</v>
          </cell>
          <cell r="K274">
            <v>0</v>
          </cell>
          <cell r="L274">
            <v>0</v>
          </cell>
          <cell r="M274">
            <v>0</v>
          </cell>
        </row>
        <row r="275">
          <cell r="A275">
            <v>40630</v>
          </cell>
          <cell r="B275">
            <v>3.7679999999999998</v>
          </cell>
          <cell r="C275">
            <v>1</v>
          </cell>
          <cell r="D275">
            <v>31.09</v>
          </cell>
          <cell r="E275">
            <v>7.0513000000000003</v>
          </cell>
          <cell r="F275">
            <v>1.026</v>
          </cell>
          <cell r="G275">
            <v>1</v>
          </cell>
          <cell r="H275">
            <v>1.026</v>
          </cell>
          <cell r="I275">
            <v>1.2955000000000001</v>
          </cell>
          <cell r="J275">
            <v>1</v>
          </cell>
          <cell r="K275">
            <v>0</v>
          </cell>
          <cell r="L275">
            <v>0</v>
          </cell>
          <cell r="M275">
            <v>0</v>
          </cell>
        </row>
        <row r="276">
          <cell r="A276">
            <v>40631</v>
          </cell>
          <cell r="B276">
            <v>3.7665000000000002</v>
          </cell>
          <cell r="C276">
            <v>1</v>
          </cell>
          <cell r="D276">
            <v>31.11</v>
          </cell>
          <cell r="E276">
            <v>7.0484</v>
          </cell>
          <cell r="F276">
            <v>1.0256000000000001</v>
          </cell>
          <cell r="G276">
            <v>1</v>
          </cell>
          <cell r="H276">
            <v>1.0256000000000001</v>
          </cell>
          <cell r="I276">
            <v>1.2948999999999999</v>
          </cell>
          <cell r="J276">
            <v>1</v>
          </cell>
          <cell r="K276">
            <v>0</v>
          </cell>
          <cell r="L276">
            <v>0</v>
          </cell>
          <cell r="M276">
            <v>0</v>
          </cell>
        </row>
        <row r="277">
          <cell r="A277">
            <v>40632</v>
          </cell>
          <cell r="B277">
            <v>3.7919</v>
          </cell>
          <cell r="C277">
            <v>1</v>
          </cell>
          <cell r="D277">
            <v>31.33</v>
          </cell>
          <cell r="E277">
            <v>7.0871000000000004</v>
          </cell>
          <cell r="F277">
            <v>1.0325</v>
          </cell>
          <cell r="G277">
            <v>1</v>
          </cell>
          <cell r="H277">
            <v>1.0325</v>
          </cell>
          <cell r="I277">
            <v>1.3038000000000001</v>
          </cell>
          <cell r="J277">
            <v>1</v>
          </cell>
          <cell r="K277">
            <v>0</v>
          </cell>
          <cell r="L277">
            <v>0</v>
          </cell>
          <cell r="M277">
            <v>0</v>
          </cell>
        </row>
        <row r="278">
          <cell r="A278">
            <v>40633</v>
          </cell>
          <cell r="B278">
            <v>3.7951999999999999</v>
          </cell>
          <cell r="C278">
            <v>1</v>
          </cell>
          <cell r="D278">
            <v>31.28</v>
          </cell>
          <cell r="E278">
            <v>7.0523999999999996</v>
          </cell>
          <cell r="F278">
            <v>1.0334000000000001</v>
          </cell>
          <cell r="G278">
            <v>1</v>
          </cell>
          <cell r="H278">
            <v>1.0334000000000001</v>
          </cell>
          <cell r="I278">
            <v>1.3028</v>
          </cell>
          <cell r="J278">
            <v>1</v>
          </cell>
          <cell r="K278">
            <v>0</v>
          </cell>
          <cell r="L278">
            <v>0</v>
          </cell>
          <cell r="M278">
            <v>0</v>
          </cell>
        </row>
        <row r="279">
          <cell r="A279">
            <v>40634</v>
          </cell>
          <cell r="B279">
            <v>3.7991999999999999</v>
          </cell>
          <cell r="C279">
            <v>1</v>
          </cell>
          <cell r="D279">
            <v>31.31</v>
          </cell>
          <cell r="E279">
            <v>7.0136000000000003</v>
          </cell>
          <cell r="F279">
            <v>1.0345</v>
          </cell>
          <cell r="G279">
            <v>1</v>
          </cell>
          <cell r="H279">
            <v>1.0345</v>
          </cell>
          <cell r="I279">
            <v>1.3049999999999999</v>
          </cell>
          <cell r="J279">
            <v>1</v>
          </cell>
          <cell r="K279">
            <v>0</v>
          </cell>
          <cell r="L279">
            <v>0</v>
          </cell>
          <cell r="M279">
            <v>0</v>
          </cell>
        </row>
        <row r="280">
          <cell r="A280">
            <v>40635</v>
          </cell>
          <cell r="B280">
            <v>3.7991999999999999</v>
          </cell>
          <cell r="C280">
            <v>1</v>
          </cell>
          <cell r="D280">
            <v>31.31</v>
          </cell>
          <cell r="E280">
            <v>7.0136000000000003</v>
          </cell>
          <cell r="F280">
            <v>1.0345</v>
          </cell>
          <cell r="G280">
            <v>1</v>
          </cell>
          <cell r="H280">
            <v>1.0345</v>
          </cell>
          <cell r="I280">
            <v>1.3049999999999999</v>
          </cell>
          <cell r="J280">
            <v>1</v>
          </cell>
          <cell r="K280">
            <v>0</v>
          </cell>
          <cell r="L280">
            <v>0</v>
          </cell>
          <cell r="M280">
            <v>0</v>
          </cell>
        </row>
        <row r="281">
          <cell r="A281">
            <v>40636</v>
          </cell>
          <cell r="B281">
            <v>3.7991999999999999</v>
          </cell>
          <cell r="C281">
            <v>1</v>
          </cell>
          <cell r="D281">
            <v>31.31</v>
          </cell>
          <cell r="E281">
            <v>7.0136000000000003</v>
          </cell>
          <cell r="F281">
            <v>1.0345</v>
          </cell>
          <cell r="G281">
            <v>1</v>
          </cell>
          <cell r="H281">
            <v>1.0345</v>
          </cell>
          <cell r="I281">
            <v>1.3049999999999999</v>
          </cell>
          <cell r="J281">
            <v>1</v>
          </cell>
          <cell r="K281">
            <v>0</v>
          </cell>
          <cell r="L281">
            <v>0</v>
          </cell>
          <cell r="M281">
            <v>0</v>
          </cell>
        </row>
        <row r="282">
          <cell r="A282">
            <v>40637</v>
          </cell>
          <cell r="B282">
            <v>3.8138999999999998</v>
          </cell>
          <cell r="C282">
            <v>1</v>
          </cell>
          <cell r="D282">
            <v>31.41</v>
          </cell>
          <cell r="E282">
            <v>6.9561999999999999</v>
          </cell>
          <cell r="F282">
            <v>1.0385</v>
          </cell>
          <cell r="G282">
            <v>1</v>
          </cell>
          <cell r="H282">
            <v>1.0385</v>
          </cell>
          <cell r="I282">
            <v>1.3089</v>
          </cell>
          <cell r="J282">
            <v>1</v>
          </cell>
          <cell r="K282">
            <v>0</v>
          </cell>
          <cell r="L282">
            <v>0</v>
          </cell>
          <cell r="M282">
            <v>0</v>
          </cell>
        </row>
        <row r="283">
          <cell r="A283">
            <v>40638</v>
          </cell>
          <cell r="B283">
            <v>3.7930000000000001</v>
          </cell>
          <cell r="C283">
            <v>1</v>
          </cell>
          <cell r="D283">
            <v>31.2</v>
          </cell>
          <cell r="E283">
            <v>6.9420999999999999</v>
          </cell>
          <cell r="F283">
            <v>1.0327999999999999</v>
          </cell>
          <cell r="G283">
            <v>1</v>
          </cell>
          <cell r="H283">
            <v>1.0327999999999999</v>
          </cell>
          <cell r="I283">
            <v>1.3025</v>
          </cell>
          <cell r="J283">
            <v>1</v>
          </cell>
          <cell r="K283">
            <v>0</v>
          </cell>
          <cell r="L283">
            <v>0</v>
          </cell>
          <cell r="M283">
            <v>0</v>
          </cell>
        </row>
        <row r="284">
          <cell r="A284">
            <v>40639</v>
          </cell>
          <cell r="B284">
            <v>3.8031999999999999</v>
          </cell>
          <cell r="C284">
            <v>1</v>
          </cell>
          <cell r="D284">
            <v>31.23</v>
          </cell>
          <cell r="E284">
            <v>6.9307999999999996</v>
          </cell>
          <cell r="F284">
            <v>1.0356000000000001</v>
          </cell>
          <cell r="G284">
            <v>1</v>
          </cell>
          <cell r="H284">
            <v>1.0356000000000001</v>
          </cell>
          <cell r="I284">
            <v>1.306</v>
          </cell>
          <cell r="J284">
            <v>1</v>
          </cell>
          <cell r="K284">
            <v>0</v>
          </cell>
          <cell r="L284">
            <v>0</v>
          </cell>
          <cell r="M284">
            <v>0</v>
          </cell>
        </row>
        <row r="285">
          <cell r="A285">
            <v>40640</v>
          </cell>
          <cell r="B285">
            <v>3.8433000000000002</v>
          </cell>
          <cell r="C285">
            <v>1</v>
          </cell>
          <cell r="D285">
            <v>31.53</v>
          </cell>
          <cell r="E285">
            <v>6.9832999999999998</v>
          </cell>
          <cell r="F285">
            <v>1.0465</v>
          </cell>
          <cell r="G285">
            <v>1</v>
          </cell>
          <cell r="H285">
            <v>1.0465</v>
          </cell>
          <cell r="I285">
            <v>1.3194999999999999</v>
          </cell>
          <cell r="J285">
            <v>1</v>
          </cell>
          <cell r="K285">
            <v>0</v>
          </cell>
          <cell r="L285">
            <v>0</v>
          </cell>
          <cell r="M285">
            <v>0</v>
          </cell>
        </row>
        <row r="286">
          <cell r="A286">
            <v>40641</v>
          </cell>
          <cell r="B286">
            <v>3.8641999999999999</v>
          </cell>
          <cell r="C286">
            <v>1</v>
          </cell>
          <cell r="D286">
            <v>31.61</v>
          </cell>
          <cell r="E286">
            <v>6.9970999999999997</v>
          </cell>
          <cell r="F286">
            <v>1.0522</v>
          </cell>
          <cell r="G286">
            <v>1</v>
          </cell>
          <cell r="H286">
            <v>1.0522</v>
          </cell>
          <cell r="I286">
            <v>1.3223</v>
          </cell>
          <cell r="J286">
            <v>1</v>
          </cell>
          <cell r="K286">
            <v>0</v>
          </cell>
          <cell r="L286">
            <v>0</v>
          </cell>
          <cell r="M286">
            <v>0</v>
          </cell>
        </row>
        <row r="287">
          <cell r="A287">
            <v>40642</v>
          </cell>
          <cell r="B287">
            <v>3.8641999999999999</v>
          </cell>
          <cell r="C287">
            <v>1</v>
          </cell>
          <cell r="D287">
            <v>31.61</v>
          </cell>
          <cell r="E287">
            <v>6.9970999999999997</v>
          </cell>
          <cell r="F287">
            <v>1.0522</v>
          </cell>
          <cell r="G287">
            <v>1</v>
          </cell>
          <cell r="H287">
            <v>1.0522</v>
          </cell>
          <cell r="I287">
            <v>1.3223</v>
          </cell>
          <cell r="J287">
            <v>1</v>
          </cell>
          <cell r="K287">
            <v>0</v>
          </cell>
          <cell r="L287">
            <v>0</v>
          </cell>
          <cell r="M287">
            <v>0</v>
          </cell>
        </row>
        <row r="288">
          <cell r="A288">
            <v>40643</v>
          </cell>
          <cell r="B288">
            <v>3.8641999999999999</v>
          </cell>
          <cell r="C288">
            <v>1</v>
          </cell>
          <cell r="D288">
            <v>31.61</v>
          </cell>
          <cell r="E288">
            <v>6.9970999999999997</v>
          </cell>
          <cell r="F288">
            <v>1.0522</v>
          </cell>
          <cell r="G288">
            <v>1</v>
          </cell>
          <cell r="H288">
            <v>1.0522</v>
          </cell>
          <cell r="I288">
            <v>1.3223</v>
          </cell>
          <cell r="J288">
            <v>1</v>
          </cell>
          <cell r="K288">
            <v>0</v>
          </cell>
          <cell r="L288">
            <v>0</v>
          </cell>
          <cell r="M288">
            <v>0</v>
          </cell>
        </row>
        <row r="289">
          <cell r="A289">
            <v>40644</v>
          </cell>
          <cell r="B289">
            <v>3.8795999999999999</v>
          </cell>
          <cell r="C289">
            <v>1</v>
          </cell>
          <cell r="D289">
            <v>31.76</v>
          </cell>
          <cell r="E289">
            <v>7.0160999999999998</v>
          </cell>
          <cell r="F289">
            <v>1.0564</v>
          </cell>
          <cell r="G289">
            <v>1</v>
          </cell>
          <cell r="H289">
            <v>1.0564</v>
          </cell>
          <cell r="I289">
            <v>1.3265</v>
          </cell>
          <cell r="J289">
            <v>1</v>
          </cell>
          <cell r="K289">
            <v>0</v>
          </cell>
          <cell r="L289">
            <v>0</v>
          </cell>
          <cell r="M289">
            <v>0</v>
          </cell>
        </row>
        <row r="290">
          <cell r="A290">
            <v>40645</v>
          </cell>
          <cell r="B290">
            <v>3.8334000000000001</v>
          </cell>
          <cell r="C290">
            <v>1</v>
          </cell>
          <cell r="D290">
            <v>31.49</v>
          </cell>
          <cell r="E290">
            <v>7.0185000000000004</v>
          </cell>
          <cell r="F290">
            <v>1.0438000000000001</v>
          </cell>
          <cell r="G290">
            <v>1</v>
          </cell>
          <cell r="H290">
            <v>1.0438000000000001</v>
          </cell>
          <cell r="I290">
            <v>1.3149999999999999</v>
          </cell>
          <cell r="J290">
            <v>1</v>
          </cell>
          <cell r="K290">
            <v>0</v>
          </cell>
          <cell r="L290">
            <v>0</v>
          </cell>
          <cell r="M290">
            <v>0</v>
          </cell>
        </row>
        <row r="291">
          <cell r="A291">
            <v>40646</v>
          </cell>
          <cell r="B291">
            <v>3.8479999999999999</v>
          </cell>
          <cell r="C291">
            <v>1</v>
          </cell>
          <cell r="D291">
            <v>31.58</v>
          </cell>
          <cell r="E291">
            <v>7.0495999999999999</v>
          </cell>
          <cell r="F291">
            <v>1.0478000000000001</v>
          </cell>
          <cell r="G291">
            <v>1</v>
          </cell>
          <cell r="H291">
            <v>1.0478000000000001</v>
          </cell>
          <cell r="I291">
            <v>1.3166</v>
          </cell>
          <cell r="J291">
            <v>1</v>
          </cell>
          <cell r="K291">
            <v>0</v>
          </cell>
          <cell r="L291">
            <v>0</v>
          </cell>
          <cell r="M291">
            <v>0</v>
          </cell>
        </row>
        <row r="292">
          <cell r="A292">
            <v>40647</v>
          </cell>
          <cell r="B292">
            <v>3.8685999999999998</v>
          </cell>
          <cell r="C292">
            <v>1</v>
          </cell>
          <cell r="D292">
            <v>31.75</v>
          </cell>
          <cell r="E292">
            <v>7.1524999999999999</v>
          </cell>
          <cell r="F292">
            <v>1.0533999999999999</v>
          </cell>
          <cell r="G292">
            <v>1</v>
          </cell>
          <cell r="H292">
            <v>1.0533999999999999</v>
          </cell>
          <cell r="I292">
            <v>1.3153999999999999</v>
          </cell>
          <cell r="J292">
            <v>1</v>
          </cell>
          <cell r="K292">
            <v>0</v>
          </cell>
          <cell r="L292">
            <v>0</v>
          </cell>
          <cell r="M292">
            <v>0</v>
          </cell>
        </row>
        <row r="293">
          <cell r="A293">
            <v>40648</v>
          </cell>
          <cell r="B293">
            <v>3.8649</v>
          </cell>
          <cell r="C293">
            <v>1</v>
          </cell>
          <cell r="D293">
            <v>31.71</v>
          </cell>
          <cell r="E293">
            <v>7.2001999999999997</v>
          </cell>
          <cell r="F293">
            <v>1.0524</v>
          </cell>
          <cell r="G293">
            <v>1</v>
          </cell>
          <cell r="H293">
            <v>1.0524</v>
          </cell>
          <cell r="I293">
            <v>1.3095000000000001</v>
          </cell>
          <cell r="J293">
            <v>1</v>
          </cell>
          <cell r="K293">
            <v>0</v>
          </cell>
          <cell r="L293">
            <v>0</v>
          </cell>
          <cell r="M293">
            <v>0</v>
          </cell>
        </row>
        <row r="294">
          <cell r="A294">
            <v>40649</v>
          </cell>
          <cell r="B294">
            <v>3.8649</v>
          </cell>
          <cell r="C294">
            <v>1</v>
          </cell>
          <cell r="D294">
            <v>31.71</v>
          </cell>
          <cell r="E294">
            <v>7.2001999999999997</v>
          </cell>
          <cell r="F294">
            <v>1.0524</v>
          </cell>
          <cell r="G294">
            <v>1</v>
          </cell>
          <cell r="H294">
            <v>1.0524</v>
          </cell>
          <cell r="I294">
            <v>1.3095000000000001</v>
          </cell>
          <cell r="J294">
            <v>1</v>
          </cell>
          <cell r="K294">
            <v>0</v>
          </cell>
          <cell r="L294">
            <v>0</v>
          </cell>
          <cell r="M294">
            <v>0</v>
          </cell>
        </row>
        <row r="295">
          <cell r="A295">
            <v>40650</v>
          </cell>
          <cell r="B295">
            <v>3.8649</v>
          </cell>
          <cell r="C295">
            <v>1</v>
          </cell>
          <cell r="D295">
            <v>31.71</v>
          </cell>
          <cell r="E295">
            <v>7.2001999999999997</v>
          </cell>
          <cell r="F295">
            <v>1.0524</v>
          </cell>
          <cell r="G295">
            <v>1</v>
          </cell>
          <cell r="H295">
            <v>1.0524</v>
          </cell>
          <cell r="I295">
            <v>1.3095000000000001</v>
          </cell>
          <cell r="J295">
            <v>1</v>
          </cell>
          <cell r="K295">
            <v>0</v>
          </cell>
          <cell r="L295">
            <v>0</v>
          </cell>
          <cell r="M295">
            <v>0</v>
          </cell>
        </row>
        <row r="296">
          <cell r="A296">
            <v>40651</v>
          </cell>
          <cell r="B296">
            <v>3.8793000000000002</v>
          </cell>
          <cell r="C296">
            <v>1</v>
          </cell>
          <cell r="D296">
            <v>31.83</v>
          </cell>
          <cell r="E296">
            <v>7.2092000000000001</v>
          </cell>
          <cell r="F296">
            <v>1.0563</v>
          </cell>
          <cell r="G296">
            <v>1</v>
          </cell>
          <cell r="H296">
            <v>1.0563</v>
          </cell>
          <cell r="I296">
            <v>1.3144</v>
          </cell>
          <cell r="J296">
            <v>1</v>
          </cell>
          <cell r="K296">
            <v>0</v>
          </cell>
          <cell r="L296">
            <v>0</v>
          </cell>
          <cell r="M296">
            <v>0</v>
          </cell>
        </row>
        <row r="297">
          <cell r="A297">
            <v>40652</v>
          </cell>
          <cell r="B297">
            <v>3.8424999999999998</v>
          </cell>
          <cell r="C297">
            <v>1</v>
          </cell>
          <cell r="D297">
            <v>31.51</v>
          </cell>
          <cell r="E297">
            <v>7.1692</v>
          </cell>
          <cell r="F297">
            <v>1.0463</v>
          </cell>
          <cell r="G297">
            <v>1</v>
          </cell>
          <cell r="H297">
            <v>1.0463</v>
          </cell>
          <cell r="I297">
            <v>1.3076000000000001</v>
          </cell>
          <cell r="J297">
            <v>1</v>
          </cell>
          <cell r="K297">
            <v>0</v>
          </cell>
          <cell r="L297">
            <v>0</v>
          </cell>
          <cell r="M297">
            <v>0</v>
          </cell>
        </row>
        <row r="298">
          <cell r="A298">
            <v>40653</v>
          </cell>
          <cell r="B298">
            <v>3.8866000000000001</v>
          </cell>
          <cell r="C298">
            <v>1</v>
          </cell>
          <cell r="D298">
            <v>31.77</v>
          </cell>
          <cell r="E298">
            <v>7.18</v>
          </cell>
          <cell r="F298">
            <v>1.0583</v>
          </cell>
          <cell r="G298">
            <v>1</v>
          </cell>
          <cell r="H298">
            <v>1.0583</v>
          </cell>
          <cell r="I298">
            <v>1.3128</v>
          </cell>
          <cell r="J298">
            <v>1</v>
          </cell>
          <cell r="K298">
            <v>0</v>
          </cell>
          <cell r="L298">
            <v>0</v>
          </cell>
          <cell r="M298">
            <v>0</v>
          </cell>
        </row>
        <row r="299">
          <cell r="A299">
            <v>40654</v>
          </cell>
          <cell r="B299">
            <v>3.9548999999999999</v>
          </cell>
          <cell r="C299">
            <v>1</v>
          </cell>
          <cell r="D299">
            <v>32.22</v>
          </cell>
          <cell r="E299">
            <v>7.2888000000000002</v>
          </cell>
          <cell r="F299">
            <v>1.0769</v>
          </cell>
          <cell r="G299">
            <v>1</v>
          </cell>
          <cell r="H299">
            <v>1.0769</v>
          </cell>
          <cell r="I299">
            <v>1.3294999999999999</v>
          </cell>
          <cell r="J299">
            <v>1</v>
          </cell>
          <cell r="K299">
            <v>0</v>
          </cell>
          <cell r="L299">
            <v>0</v>
          </cell>
          <cell r="M299">
            <v>0</v>
          </cell>
        </row>
        <row r="300">
          <cell r="A300">
            <v>40655</v>
          </cell>
          <cell r="B300">
            <v>3.9548999999999999</v>
          </cell>
          <cell r="C300">
            <v>1</v>
          </cell>
          <cell r="D300">
            <v>32.22</v>
          </cell>
          <cell r="E300">
            <v>7.2888000000000002</v>
          </cell>
          <cell r="F300">
            <v>1.0769</v>
          </cell>
          <cell r="G300">
            <v>1</v>
          </cell>
          <cell r="H300">
            <v>1.0769</v>
          </cell>
          <cell r="I300">
            <v>1.3294999999999999</v>
          </cell>
          <cell r="J300">
            <v>1</v>
          </cell>
          <cell r="K300">
            <v>0</v>
          </cell>
          <cell r="L300">
            <v>0</v>
          </cell>
          <cell r="M300">
            <v>0</v>
          </cell>
        </row>
        <row r="301">
          <cell r="A301">
            <v>40656</v>
          </cell>
          <cell r="B301">
            <v>3.9548999999999999</v>
          </cell>
          <cell r="C301">
            <v>1</v>
          </cell>
          <cell r="D301">
            <v>32.22</v>
          </cell>
          <cell r="E301">
            <v>7.2888000000000002</v>
          </cell>
          <cell r="F301">
            <v>1.0769</v>
          </cell>
          <cell r="G301">
            <v>1</v>
          </cell>
          <cell r="H301">
            <v>1.0769</v>
          </cell>
          <cell r="I301">
            <v>1.3294999999999999</v>
          </cell>
          <cell r="J301">
            <v>1</v>
          </cell>
          <cell r="K301">
            <v>0</v>
          </cell>
          <cell r="L301">
            <v>0</v>
          </cell>
          <cell r="M301">
            <v>0</v>
          </cell>
        </row>
        <row r="302">
          <cell r="A302">
            <v>40657</v>
          </cell>
          <cell r="B302">
            <v>3.9548999999999999</v>
          </cell>
          <cell r="C302">
            <v>1</v>
          </cell>
          <cell r="D302">
            <v>32.22</v>
          </cell>
          <cell r="E302">
            <v>7.2888000000000002</v>
          </cell>
          <cell r="F302">
            <v>1.0769</v>
          </cell>
          <cell r="G302">
            <v>1</v>
          </cell>
          <cell r="H302">
            <v>1.0769</v>
          </cell>
          <cell r="I302">
            <v>1.3294999999999999</v>
          </cell>
          <cell r="J302">
            <v>1</v>
          </cell>
          <cell r="K302">
            <v>0</v>
          </cell>
          <cell r="L302">
            <v>0</v>
          </cell>
          <cell r="M302">
            <v>0</v>
          </cell>
        </row>
        <row r="303">
          <cell r="A303">
            <v>40658</v>
          </cell>
          <cell r="B303">
            <v>3.9548999999999999</v>
          </cell>
          <cell r="C303">
            <v>1</v>
          </cell>
          <cell r="D303">
            <v>32.22</v>
          </cell>
          <cell r="E303">
            <v>7.2888000000000002</v>
          </cell>
          <cell r="F303">
            <v>1.0769</v>
          </cell>
          <cell r="G303">
            <v>1</v>
          </cell>
          <cell r="H303">
            <v>1.0769</v>
          </cell>
          <cell r="I303">
            <v>1.3294999999999999</v>
          </cell>
          <cell r="J303">
            <v>1</v>
          </cell>
          <cell r="K303">
            <v>0</v>
          </cell>
          <cell r="L303">
            <v>0</v>
          </cell>
          <cell r="M303">
            <v>0</v>
          </cell>
        </row>
        <row r="304">
          <cell r="A304">
            <v>40659</v>
          </cell>
          <cell r="B304">
            <v>3.9548999999999999</v>
          </cell>
          <cell r="C304">
            <v>1</v>
          </cell>
          <cell r="D304">
            <v>32.22</v>
          </cell>
          <cell r="E304">
            <v>7.2888000000000002</v>
          </cell>
          <cell r="F304">
            <v>1.0769</v>
          </cell>
          <cell r="G304">
            <v>1</v>
          </cell>
          <cell r="H304">
            <v>1.0769</v>
          </cell>
          <cell r="I304">
            <v>1.3294999999999999</v>
          </cell>
          <cell r="J304">
            <v>1</v>
          </cell>
          <cell r="K304">
            <v>0</v>
          </cell>
          <cell r="L304">
            <v>0</v>
          </cell>
          <cell r="M304">
            <v>0</v>
          </cell>
        </row>
        <row r="305">
          <cell r="A305">
            <v>40660</v>
          </cell>
          <cell r="B305">
            <v>3.9792000000000001</v>
          </cell>
          <cell r="C305">
            <v>1</v>
          </cell>
          <cell r="D305">
            <v>32.43</v>
          </cell>
          <cell r="E305">
            <v>7.2187999999999999</v>
          </cell>
          <cell r="F305">
            <v>1.0834999999999999</v>
          </cell>
          <cell r="G305">
            <v>1</v>
          </cell>
          <cell r="H305">
            <v>1.0834999999999999</v>
          </cell>
          <cell r="I305">
            <v>1.3333999999999999</v>
          </cell>
          <cell r="J305">
            <v>1</v>
          </cell>
          <cell r="K305">
            <v>0</v>
          </cell>
          <cell r="L305">
            <v>0</v>
          </cell>
          <cell r="M305">
            <v>0</v>
          </cell>
        </row>
        <row r="306">
          <cell r="A306">
            <v>40661</v>
          </cell>
          <cell r="B306">
            <v>4.0122</v>
          </cell>
          <cell r="C306">
            <v>1</v>
          </cell>
          <cell r="D306">
            <v>32.630000000000003</v>
          </cell>
          <cell r="E306">
            <v>7.2176</v>
          </cell>
          <cell r="F306">
            <v>1.0925</v>
          </cell>
          <cell r="G306">
            <v>1</v>
          </cell>
          <cell r="H306">
            <v>1.0925</v>
          </cell>
          <cell r="I306">
            <v>1.3392999999999999</v>
          </cell>
          <cell r="J306">
            <v>1</v>
          </cell>
          <cell r="K306">
            <v>0</v>
          </cell>
          <cell r="L306">
            <v>0</v>
          </cell>
          <cell r="M306">
            <v>0</v>
          </cell>
        </row>
        <row r="307">
          <cell r="A307">
            <v>40662</v>
          </cell>
          <cell r="B307">
            <v>4.0030000000000001</v>
          </cell>
          <cell r="C307">
            <v>1</v>
          </cell>
          <cell r="D307">
            <v>32.6</v>
          </cell>
          <cell r="E307">
            <v>7.2023999999999999</v>
          </cell>
          <cell r="F307">
            <v>1.0900000000000001</v>
          </cell>
          <cell r="G307">
            <v>1</v>
          </cell>
          <cell r="H307">
            <v>1.0900000000000001</v>
          </cell>
          <cell r="I307">
            <v>1.3375999999999999</v>
          </cell>
          <cell r="J307">
            <v>1</v>
          </cell>
          <cell r="K307">
            <v>0</v>
          </cell>
          <cell r="L307">
            <v>0</v>
          </cell>
          <cell r="M307">
            <v>0</v>
          </cell>
        </row>
        <row r="308">
          <cell r="A308">
            <v>40663</v>
          </cell>
          <cell r="B308">
            <v>4.0030000000000001</v>
          </cell>
          <cell r="C308">
            <v>1</v>
          </cell>
          <cell r="D308">
            <v>32.6</v>
          </cell>
          <cell r="E308">
            <v>7.2023999999999999</v>
          </cell>
          <cell r="F308">
            <v>1.0900000000000001</v>
          </cell>
          <cell r="G308">
            <v>1</v>
          </cell>
          <cell r="H308">
            <v>1.0900000000000001</v>
          </cell>
          <cell r="I308">
            <v>1.3375999999999999</v>
          </cell>
          <cell r="J308">
            <v>1</v>
          </cell>
          <cell r="K308">
            <v>0</v>
          </cell>
          <cell r="L308">
            <v>0</v>
          </cell>
          <cell r="M308">
            <v>0</v>
          </cell>
        </row>
        <row r="309">
          <cell r="A309">
            <v>40664</v>
          </cell>
          <cell r="B309">
            <v>4.0030000000000001</v>
          </cell>
          <cell r="C309">
            <v>1</v>
          </cell>
          <cell r="D309">
            <v>32.6</v>
          </cell>
          <cell r="E309">
            <v>7.2023999999999999</v>
          </cell>
          <cell r="F309">
            <v>1.0900000000000001</v>
          </cell>
          <cell r="G309">
            <v>1</v>
          </cell>
          <cell r="H309">
            <v>1.0900000000000001</v>
          </cell>
          <cell r="I309">
            <v>1.3375999999999999</v>
          </cell>
          <cell r="J309">
            <v>1</v>
          </cell>
          <cell r="K309">
            <v>0</v>
          </cell>
          <cell r="L309">
            <v>0</v>
          </cell>
          <cell r="M309">
            <v>0</v>
          </cell>
        </row>
        <row r="310">
          <cell r="A310">
            <v>40665</v>
          </cell>
          <cell r="B310">
            <v>4.0172999999999996</v>
          </cell>
          <cell r="C310">
            <v>1</v>
          </cell>
          <cell r="D310">
            <v>32.69</v>
          </cell>
          <cell r="E310">
            <v>7.1973000000000003</v>
          </cell>
          <cell r="F310">
            <v>1.0939000000000001</v>
          </cell>
          <cell r="G310">
            <v>1</v>
          </cell>
          <cell r="H310">
            <v>1.0939000000000001</v>
          </cell>
          <cell r="I310">
            <v>1.3388</v>
          </cell>
          <cell r="J310">
            <v>1</v>
          </cell>
          <cell r="K310">
            <v>0</v>
          </cell>
          <cell r="L310">
            <v>0</v>
          </cell>
          <cell r="M310">
            <v>0</v>
          </cell>
        </row>
        <row r="311">
          <cell r="A311">
            <v>40666</v>
          </cell>
          <cell r="B311">
            <v>4.01</v>
          </cell>
          <cell r="C311">
            <v>1</v>
          </cell>
          <cell r="D311">
            <v>32.67</v>
          </cell>
          <cell r="E311">
            <v>7.2213000000000003</v>
          </cell>
          <cell r="F311">
            <v>1.0919000000000001</v>
          </cell>
          <cell r="G311">
            <v>1</v>
          </cell>
          <cell r="H311">
            <v>1.0919000000000001</v>
          </cell>
          <cell r="I311">
            <v>1.3374999999999999</v>
          </cell>
          <cell r="J311">
            <v>1</v>
          </cell>
          <cell r="K311">
            <v>0</v>
          </cell>
          <cell r="L311">
            <v>0</v>
          </cell>
          <cell r="M311">
            <v>0</v>
          </cell>
        </row>
        <row r="312">
          <cell r="A312">
            <v>40667</v>
          </cell>
          <cell r="B312">
            <v>3.9769999999999999</v>
          </cell>
          <cell r="C312">
            <v>1</v>
          </cell>
          <cell r="D312">
            <v>32.53</v>
          </cell>
          <cell r="E312">
            <v>7.1980000000000004</v>
          </cell>
          <cell r="F312">
            <v>1.0829</v>
          </cell>
          <cell r="G312">
            <v>1</v>
          </cell>
          <cell r="H312">
            <v>1.0829</v>
          </cell>
          <cell r="I312">
            <v>1.3314999999999999</v>
          </cell>
          <cell r="J312">
            <v>1</v>
          </cell>
          <cell r="K312">
            <v>0</v>
          </cell>
          <cell r="L312">
            <v>0</v>
          </cell>
          <cell r="M312">
            <v>0</v>
          </cell>
        </row>
        <row r="313">
          <cell r="A313">
            <v>40668</v>
          </cell>
          <cell r="B313">
            <v>3.9445999999999999</v>
          </cell>
          <cell r="C313">
            <v>1</v>
          </cell>
          <cell r="D313">
            <v>32.299999999999997</v>
          </cell>
          <cell r="E313">
            <v>7.1557000000000004</v>
          </cell>
          <cell r="F313">
            <v>1.0741000000000001</v>
          </cell>
          <cell r="G313">
            <v>1</v>
          </cell>
          <cell r="H313">
            <v>1.0741000000000001</v>
          </cell>
          <cell r="I313">
            <v>1.3213999999999999</v>
          </cell>
          <cell r="J313">
            <v>1</v>
          </cell>
          <cell r="K313">
            <v>0</v>
          </cell>
          <cell r="L313">
            <v>0</v>
          </cell>
          <cell r="M313">
            <v>0</v>
          </cell>
        </row>
        <row r="314">
          <cell r="A314">
            <v>40669</v>
          </cell>
          <cell r="B314">
            <v>3.9287999999999998</v>
          </cell>
          <cell r="C314">
            <v>1</v>
          </cell>
          <cell r="D314">
            <v>32.32</v>
          </cell>
          <cell r="E314">
            <v>7.1840000000000002</v>
          </cell>
          <cell r="F314">
            <v>1.0698000000000001</v>
          </cell>
          <cell r="G314">
            <v>1</v>
          </cell>
          <cell r="H314">
            <v>1.0698000000000001</v>
          </cell>
          <cell r="I314">
            <v>1.3210999999999999</v>
          </cell>
          <cell r="J314">
            <v>1</v>
          </cell>
          <cell r="K314">
            <v>0</v>
          </cell>
          <cell r="L314">
            <v>0</v>
          </cell>
          <cell r="M314">
            <v>0</v>
          </cell>
        </row>
        <row r="315">
          <cell r="A315">
            <v>40670</v>
          </cell>
          <cell r="B315">
            <v>3.9287999999999998</v>
          </cell>
          <cell r="C315">
            <v>1</v>
          </cell>
          <cell r="D315">
            <v>32.32</v>
          </cell>
          <cell r="E315">
            <v>7.1840000000000002</v>
          </cell>
          <cell r="F315">
            <v>1.0698000000000001</v>
          </cell>
          <cell r="G315">
            <v>1</v>
          </cell>
          <cell r="H315">
            <v>1.0698000000000001</v>
          </cell>
          <cell r="I315">
            <v>1.3210999999999999</v>
          </cell>
          <cell r="J315">
            <v>1</v>
          </cell>
          <cell r="K315">
            <v>0</v>
          </cell>
          <cell r="L315">
            <v>0</v>
          </cell>
          <cell r="M315">
            <v>0</v>
          </cell>
        </row>
        <row r="316">
          <cell r="A316">
            <v>40671</v>
          </cell>
          <cell r="B316">
            <v>3.9287999999999998</v>
          </cell>
          <cell r="C316">
            <v>1</v>
          </cell>
          <cell r="D316">
            <v>32.32</v>
          </cell>
          <cell r="E316">
            <v>7.1840000000000002</v>
          </cell>
          <cell r="F316">
            <v>1.0698000000000001</v>
          </cell>
          <cell r="G316">
            <v>1</v>
          </cell>
          <cell r="H316">
            <v>1.0698000000000001</v>
          </cell>
          <cell r="I316">
            <v>1.3210999999999999</v>
          </cell>
          <cell r="J316">
            <v>1</v>
          </cell>
          <cell r="K316">
            <v>0</v>
          </cell>
          <cell r="L316">
            <v>0</v>
          </cell>
          <cell r="M316">
            <v>0</v>
          </cell>
        </row>
        <row r="317">
          <cell r="A317">
            <v>40672</v>
          </cell>
          <cell r="B317">
            <v>3.9542000000000002</v>
          </cell>
          <cell r="C317">
            <v>1</v>
          </cell>
          <cell r="D317">
            <v>32.520000000000003</v>
          </cell>
          <cell r="E317">
            <v>7.2111999999999998</v>
          </cell>
          <cell r="F317">
            <v>1.0767</v>
          </cell>
          <cell r="G317">
            <v>1</v>
          </cell>
          <cell r="H317">
            <v>1.0767</v>
          </cell>
          <cell r="I317">
            <v>1.3267</v>
          </cell>
          <cell r="J317">
            <v>1</v>
          </cell>
          <cell r="K317">
            <v>0</v>
          </cell>
          <cell r="L317">
            <v>0</v>
          </cell>
          <cell r="M317">
            <v>0</v>
          </cell>
        </row>
        <row r="318">
          <cell r="A318">
            <v>40673</v>
          </cell>
          <cell r="B318">
            <v>3.9476</v>
          </cell>
          <cell r="C318">
            <v>1</v>
          </cell>
          <cell r="D318">
            <v>32.46</v>
          </cell>
          <cell r="E318">
            <v>7.2411000000000003</v>
          </cell>
          <cell r="F318">
            <v>1.0749</v>
          </cell>
          <cell r="G318">
            <v>1</v>
          </cell>
          <cell r="H318">
            <v>1.0749</v>
          </cell>
          <cell r="I318">
            <v>1.3265</v>
          </cell>
          <cell r="J318">
            <v>1</v>
          </cell>
          <cell r="K318">
            <v>0</v>
          </cell>
          <cell r="L318">
            <v>0</v>
          </cell>
          <cell r="M318">
            <v>0</v>
          </cell>
        </row>
        <row r="319">
          <cell r="A319">
            <v>40674</v>
          </cell>
          <cell r="B319">
            <v>3.9904999999999999</v>
          </cell>
          <cell r="C319">
            <v>1</v>
          </cell>
          <cell r="D319">
            <v>32.68</v>
          </cell>
          <cell r="E319">
            <v>7.3265000000000002</v>
          </cell>
          <cell r="F319">
            <v>1.0866</v>
          </cell>
          <cell r="G319">
            <v>1</v>
          </cell>
          <cell r="H319">
            <v>1.0866</v>
          </cell>
          <cell r="I319">
            <v>1.3365</v>
          </cell>
          <cell r="J319">
            <v>1</v>
          </cell>
          <cell r="K319">
            <v>0</v>
          </cell>
          <cell r="L319">
            <v>0</v>
          </cell>
          <cell r="M319">
            <v>0</v>
          </cell>
        </row>
        <row r="320">
          <cell r="A320">
            <v>40675</v>
          </cell>
          <cell r="B320">
            <v>3.8990999999999998</v>
          </cell>
          <cell r="C320">
            <v>1</v>
          </cell>
          <cell r="D320">
            <v>32.1</v>
          </cell>
          <cell r="E320">
            <v>7.3235000000000001</v>
          </cell>
          <cell r="F320">
            <v>1.0617000000000001</v>
          </cell>
          <cell r="G320">
            <v>1</v>
          </cell>
          <cell r="H320">
            <v>1.0617000000000001</v>
          </cell>
          <cell r="I320">
            <v>1.3141</v>
          </cell>
          <cell r="J320">
            <v>1</v>
          </cell>
          <cell r="K320">
            <v>0</v>
          </cell>
          <cell r="L320">
            <v>0</v>
          </cell>
          <cell r="M320">
            <v>0</v>
          </cell>
        </row>
        <row r="321">
          <cell r="A321">
            <v>40676</v>
          </cell>
          <cell r="B321">
            <v>3.9186000000000001</v>
          </cell>
          <cell r="C321">
            <v>1</v>
          </cell>
          <cell r="D321">
            <v>32.26</v>
          </cell>
          <cell r="E321">
            <v>7.3739999999999997</v>
          </cell>
          <cell r="F321">
            <v>1.0669999999999999</v>
          </cell>
          <cell r="G321">
            <v>1</v>
          </cell>
          <cell r="H321">
            <v>1.0669999999999999</v>
          </cell>
          <cell r="I321">
            <v>1.3236000000000001</v>
          </cell>
          <cell r="J321">
            <v>1</v>
          </cell>
          <cell r="K321">
            <v>0</v>
          </cell>
          <cell r="L321">
            <v>0</v>
          </cell>
          <cell r="M321">
            <v>0</v>
          </cell>
        </row>
        <row r="322">
          <cell r="A322">
            <v>40677</v>
          </cell>
          <cell r="B322">
            <v>3.9186000000000001</v>
          </cell>
          <cell r="C322">
            <v>1</v>
          </cell>
          <cell r="D322">
            <v>32.26</v>
          </cell>
          <cell r="E322">
            <v>7.3739999999999997</v>
          </cell>
          <cell r="F322">
            <v>1.0669999999999999</v>
          </cell>
          <cell r="G322">
            <v>1</v>
          </cell>
          <cell r="H322">
            <v>1.0669999999999999</v>
          </cell>
          <cell r="I322">
            <v>1.3236000000000001</v>
          </cell>
          <cell r="J322">
            <v>1</v>
          </cell>
          <cell r="K322">
            <v>0</v>
          </cell>
          <cell r="L322">
            <v>0</v>
          </cell>
          <cell r="M322">
            <v>0</v>
          </cell>
        </row>
        <row r="323">
          <cell r="A323">
            <v>40678</v>
          </cell>
          <cell r="B323">
            <v>3.9186000000000001</v>
          </cell>
          <cell r="C323">
            <v>1</v>
          </cell>
          <cell r="D323">
            <v>32.26</v>
          </cell>
          <cell r="E323">
            <v>7.3739999999999997</v>
          </cell>
          <cell r="F323">
            <v>1.0669999999999999</v>
          </cell>
          <cell r="G323">
            <v>1</v>
          </cell>
          <cell r="H323">
            <v>1.0669999999999999</v>
          </cell>
          <cell r="I323">
            <v>1.3236000000000001</v>
          </cell>
          <cell r="J323">
            <v>1</v>
          </cell>
          <cell r="K323">
            <v>0</v>
          </cell>
          <cell r="L323">
            <v>0</v>
          </cell>
          <cell r="M323">
            <v>0</v>
          </cell>
        </row>
        <row r="324">
          <cell r="A324">
            <v>40679</v>
          </cell>
          <cell r="B324">
            <v>3.8759999999999999</v>
          </cell>
          <cell r="C324">
            <v>1</v>
          </cell>
          <cell r="D324">
            <v>31.98</v>
          </cell>
          <cell r="E324">
            <v>7.41</v>
          </cell>
          <cell r="F324">
            <v>1.0553999999999999</v>
          </cell>
          <cell r="G324">
            <v>1</v>
          </cell>
          <cell r="H324">
            <v>1.0553999999999999</v>
          </cell>
          <cell r="I324">
            <v>1.3188</v>
          </cell>
          <cell r="J324">
            <v>1</v>
          </cell>
          <cell r="K324">
            <v>0</v>
          </cell>
          <cell r="L324">
            <v>0</v>
          </cell>
          <cell r="M324">
            <v>0</v>
          </cell>
        </row>
        <row r="325">
          <cell r="A325">
            <v>40680</v>
          </cell>
          <cell r="B325">
            <v>3.8950999999999998</v>
          </cell>
          <cell r="C325">
            <v>1</v>
          </cell>
          <cell r="D325">
            <v>32.130000000000003</v>
          </cell>
          <cell r="E325">
            <v>7.4055999999999997</v>
          </cell>
          <cell r="F325">
            <v>1.0606</v>
          </cell>
          <cell r="G325">
            <v>1</v>
          </cell>
          <cell r="H325">
            <v>1.0606</v>
          </cell>
          <cell r="I325">
            <v>1.3226</v>
          </cell>
          <cell r="J325">
            <v>1</v>
          </cell>
          <cell r="K325">
            <v>0</v>
          </cell>
          <cell r="L325">
            <v>0</v>
          </cell>
          <cell r="M325">
            <v>0</v>
          </cell>
        </row>
        <row r="326">
          <cell r="A326">
            <v>40681</v>
          </cell>
          <cell r="B326">
            <v>3.9041999999999999</v>
          </cell>
          <cell r="C326">
            <v>1</v>
          </cell>
          <cell r="D326">
            <v>32.14</v>
          </cell>
          <cell r="E326">
            <v>7.3620000000000001</v>
          </cell>
          <cell r="F326">
            <v>1.0630999999999999</v>
          </cell>
          <cell r="G326">
            <v>1</v>
          </cell>
          <cell r="H326">
            <v>1.0630999999999999</v>
          </cell>
          <cell r="I326">
            <v>1.3198000000000001</v>
          </cell>
          <cell r="J326">
            <v>1</v>
          </cell>
          <cell r="K326">
            <v>0</v>
          </cell>
          <cell r="L326">
            <v>0</v>
          </cell>
          <cell r="M326">
            <v>0</v>
          </cell>
        </row>
        <row r="327">
          <cell r="A327">
            <v>40682</v>
          </cell>
          <cell r="B327">
            <v>3.9079000000000002</v>
          </cell>
          <cell r="C327">
            <v>1</v>
          </cell>
          <cell r="D327">
            <v>32.18</v>
          </cell>
          <cell r="E327">
            <v>7.3475999999999999</v>
          </cell>
          <cell r="F327">
            <v>1.0641</v>
          </cell>
          <cell r="G327">
            <v>1</v>
          </cell>
          <cell r="H327">
            <v>1.0641</v>
          </cell>
          <cell r="I327">
            <v>1.3182</v>
          </cell>
          <cell r="J327">
            <v>1</v>
          </cell>
          <cell r="K327">
            <v>0</v>
          </cell>
          <cell r="L327">
            <v>0</v>
          </cell>
          <cell r="M327">
            <v>0</v>
          </cell>
        </row>
        <row r="328">
          <cell r="A328">
            <v>40683</v>
          </cell>
          <cell r="B328">
            <v>3.9167000000000001</v>
          </cell>
          <cell r="C328">
            <v>1</v>
          </cell>
          <cell r="D328">
            <v>32.28</v>
          </cell>
          <cell r="E328">
            <v>7.3205</v>
          </cell>
          <cell r="F328">
            <v>1.0665</v>
          </cell>
          <cell r="G328">
            <v>1</v>
          </cell>
          <cell r="H328">
            <v>1.0665</v>
          </cell>
          <cell r="I328">
            <v>1.3172999999999999</v>
          </cell>
          <cell r="J328">
            <v>1</v>
          </cell>
          <cell r="K328">
            <v>0</v>
          </cell>
          <cell r="L328">
            <v>0</v>
          </cell>
          <cell r="M328">
            <v>0</v>
          </cell>
        </row>
        <row r="329">
          <cell r="A329">
            <v>40684</v>
          </cell>
          <cell r="B329">
            <v>3.9167000000000001</v>
          </cell>
          <cell r="C329">
            <v>1</v>
          </cell>
          <cell r="D329">
            <v>32.28</v>
          </cell>
          <cell r="E329">
            <v>7.3205</v>
          </cell>
          <cell r="F329">
            <v>1.0665</v>
          </cell>
          <cell r="G329">
            <v>1</v>
          </cell>
          <cell r="H329">
            <v>1.0665</v>
          </cell>
          <cell r="I329">
            <v>1.3172999999999999</v>
          </cell>
          <cell r="J329">
            <v>1</v>
          </cell>
          <cell r="K329">
            <v>0</v>
          </cell>
          <cell r="L329">
            <v>0</v>
          </cell>
          <cell r="M329">
            <v>0</v>
          </cell>
        </row>
        <row r="330">
          <cell r="A330">
            <v>40685</v>
          </cell>
          <cell r="B330">
            <v>3.9167000000000001</v>
          </cell>
          <cell r="C330">
            <v>1</v>
          </cell>
          <cell r="D330">
            <v>32.28</v>
          </cell>
          <cell r="E330">
            <v>7.3205</v>
          </cell>
          <cell r="F330">
            <v>1.0665</v>
          </cell>
          <cell r="G330">
            <v>1</v>
          </cell>
          <cell r="H330">
            <v>1.0665</v>
          </cell>
          <cell r="I330">
            <v>1.3172999999999999</v>
          </cell>
          <cell r="J330">
            <v>1</v>
          </cell>
          <cell r="K330">
            <v>0</v>
          </cell>
          <cell r="L330">
            <v>0</v>
          </cell>
          <cell r="M330">
            <v>0</v>
          </cell>
        </row>
        <row r="331">
          <cell r="A331">
            <v>40686</v>
          </cell>
          <cell r="B331">
            <v>3.8771</v>
          </cell>
          <cell r="C331">
            <v>1</v>
          </cell>
          <cell r="D331">
            <v>32.08</v>
          </cell>
          <cell r="E331">
            <v>7.3543000000000003</v>
          </cell>
          <cell r="F331">
            <v>1.0557000000000001</v>
          </cell>
          <cell r="G331">
            <v>1</v>
          </cell>
          <cell r="H331">
            <v>1.0557000000000001</v>
          </cell>
          <cell r="I331">
            <v>1.3157000000000001</v>
          </cell>
          <cell r="J331">
            <v>1</v>
          </cell>
          <cell r="K331">
            <v>0</v>
          </cell>
          <cell r="L331">
            <v>0</v>
          </cell>
          <cell r="M331">
            <v>0</v>
          </cell>
        </row>
        <row r="332">
          <cell r="A332">
            <v>40687</v>
          </cell>
          <cell r="B332">
            <v>3.8734000000000002</v>
          </cell>
          <cell r="C332">
            <v>1</v>
          </cell>
          <cell r="D332">
            <v>32.06</v>
          </cell>
          <cell r="E332">
            <v>7.3745000000000003</v>
          </cell>
          <cell r="F332">
            <v>1.0547</v>
          </cell>
          <cell r="G332">
            <v>1</v>
          </cell>
          <cell r="H332">
            <v>1.0547</v>
          </cell>
          <cell r="I332">
            <v>1.3153999999999999</v>
          </cell>
          <cell r="J332">
            <v>1</v>
          </cell>
          <cell r="K332">
            <v>0</v>
          </cell>
          <cell r="L332">
            <v>0</v>
          </cell>
          <cell r="M332">
            <v>0</v>
          </cell>
        </row>
        <row r="333">
          <cell r="A333">
            <v>40688</v>
          </cell>
          <cell r="B333">
            <v>3.8422000000000001</v>
          </cell>
          <cell r="C333">
            <v>1</v>
          </cell>
          <cell r="D333">
            <v>31.87</v>
          </cell>
          <cell r="E333">
            <v>7.3482000000000003</v>
          </cell>
          <cell r="F333">
            <v>1.0462</v>
          </cell>
          <cell r="G333">
            <v>1</v>
          </cell>
          <cell r="H333">
            <v>1.0462</v>
          </cell>
          <cell r="I333">
            <v>1.3092999999999999</v>
          </cell>
          <cell r="J333">
            <v>1</v>
          </cell>
          <cell r="K333">
            <v>0</v>
          </cell>
          <cell r="L333">
            <v>0</v>
          </cell>
          <cell r="M333">
            <v>0</v>
          </cell>
        </row>
        <row r="334">
          <cell r="A334">
            <v>40689</v>
          </cell>
          <cell r="B334">
            <v>3.8969</v>
          </cell>
          <cell r="C334">
            <v>1</v>
          </cell>
          <cell r="D334">
            <v>32.26</v>
          </cell>
          <cell r="E334">
            <v>7.4273999999999996</v>
          </cell>
          <cell r="F334">
            <v>1.0610999999999999</v>
          </cell>
          <cell r="G334">
            <v>1</v>
          </cell>
          <cell r="H334">
            <v>1.0610999999999999</v>
          </cell>
          <cell r="I334">
            <v>1.3182</v>
          </cell>
          <cell r="J334">
            <v>1</v>
          </cell>
          <cell r="K334">
            <v>0</v>
          </cell>
          <cell r="L334">
            <v>0</v>
          </cell>
          <cell r="M334">
            <v>0</v>
          </cell>
        </row>
        <row r="335">
          <cell r="A335">
            <v>40690</v>
          </cell>
          <cell r="B335">
            <v>3.9237000000000002</v>
          </cell>
          <cell r="C335">
            <v>1</v>
          </cell>
          <cell r="D335">
            <v>32.450000000000003</v>
          </cell>
          <cell r="E335">
            <v>7.3894000000000002</v>
          </cell>
          <cell r="F335">
            <v>1.0684</v>
          </cell>
          <cell r="G335">
            <v>1</v>
          </cell>
          <cell r="H335">
            <v>1.0684</v>
          </cell>
          <cell r="I335">
            <v>1.3226</v>
          </cell>
          <cell r="J335">
            <v>1</v>
          </cell>
          <cell r="K335">
            <v>0</v>
          </cell>
          <cell r="L335">
            <v>0</v>
          </cell>
          <cell r="M335">
            <v>0</v>
          </cell>
        </row>
        <row r="336">
          <cell r="A336">
            <v>40691</v>
          </cell>
          <cell r="B336">
            <v>3.9237000000000002</v>
          </cell>
          <cell r="C336">
            <v>1</v>
          </cell>
          <cell r="D336">
            <v>32.450000000000003</v>
          </cell>
          <cell r="E336">
            <v>7.3894000000000002</v>
          </cell>
          <cell r="F336">
            <v>1.0684</v>
          </cell>
          <cell r="G336">
            <v>1</v>
          </cell>
          <cell r="H336">
            <v>1.0684</v>
          </cell>
          <cell r="I336">
            <v>1.3226</v>
          </cell>
          <cell r="J336">
            <v>1</v>
          </cell>
          <cell r="K336">
            <v>0</v>
          </cell>
          <cell r="L336">
            <v>0</v>
          </cell>
          <cell r="M336">
            <v>0</v>
          </cell>
        </row>
        <row r="337">
          <cell r="A337">
            <v>40692</v>
          </cell>
          <cell r="B337">
            <v>3.9237000000000002</v>
          </cell>
          <cell r="C337">
            <v>1</v>
          </cell>
          <cell r="D337">
            <v>32.450000000000003</v>
          </cell>
          <cell r="E337">
            <v>7.3894000000000002</v>
          </cell>
          <cell r="F337">
            <v>1.0684</v>
          </cell>
          <cell r="G337">
            <v>1</v>
          </cell>
          <cell r="H337">
            <v>1.0684</v>
          </cell>
          <cell r="I337">
            <v>1.3226</v>
          </cell>
          <cell r="J337">
            <v>1</v>
          </cell>
          <cell r="K337">
            <v>0</v>
          </cell>
          <cell r="L337">
            <v>0</v>
          </cell>
          <cell r="M337">
            <v>0</v>
          </cell>
        </row>
        <row r="338">
          <cell r="A338">
            <v>40693</v>
          </cell>
          <cell r="B338">
            <v>3.9232999999999998</v>
          </cell>
          <cell r="C338">
            <v>1</v>
          </cell>
          <cell r="D338">
            <v>32.4</v>
          </cell>
          <cell r="E338">
            <v>7.3925999999999998</v>
          </cell>
          <cell r="F338">
            <v>1.0683</v>
          </cell>
          <cell r="G338">
            <v>1</v>
          </cell>
          <cell r="H338">
            <v>1.0683</v>
          </cell>
          <cell r="I338">
            <v>1.319</v>
          </cell>
          <cell r="J338">
            <v>1</v>
          </cell>
          <cell r="K338">
            <v>0</v>
          </cell>
          <cell r="L338">
            <v>0</v>
          </cell>
          <cell r="M338">
            <v>0</v>
          </cell>
        </row>
        <row r="339">
          <cell r="A339">
            <v>40694</v>
          </cell>
          <cell r="B339">
            <v>3.9329000000000001</v>
          </cell>
          <cell r="C339">
            <v>1</v>
          </cell>
          <cell r="D339">
            <v>32.46</v>
          </cell>
          <cell r="E339">
            <v>7.3951000000000002</v>
          </cell>
          <cell r="F339">
            <v>1.0709</v>
          </cell>
          <cell r="G339">
            <v>1</v>
          </cell>
          <cell r="H339">
            <v>1.0709</v>
          </cell>
          <cell r="I339">
            <v>1.3196000000000001</v>
          </cell>
          <cell r="J339">
            <v>1</v>
          </cell>
          <cell r="K339">
            <v>0</v>
          </cell>
          <cell r="L339">
            <v>0</v>
          </cell>
          <cell r="M339">
            <v>0</v>
          </cell>
        </row>
        <row r="340">
          <cell r="A340">
            <v>40695</v>
          </cell>
          <cell r="B340">
            <v>3.9472</v>
          </cell>
          <cell r="C340">
            <v>1</v>
          </cell>
          <cell r="D340">
            <v>32.56</v>
          </cell>
          <cell r="E340">
            <v>7.3086000000000002</v>
          </cell>
          <cell r="F340">
            <v>1.0748</v>
          </cell>
          <cell r="G340">
            <v>1</v>
          </cell>
          <cell r="H340">
            <v>1.0748</v>
          </cell>
          <cell r="I340">
            <v>1.3218000000000001</v>
          </cell>
          <cell r="J340">
            <v>1</v>
          </cell>
          <cell r="K340">
            <v>0</v>
          </cell>
          <cell r="L340">
            <v>0</v>
          </cell>
          <cell r="M340">
            <v>0</v>
          </cell>
        </row>
        <row r="341">
          <cell r="A341">
            <v>40696</v>
          </cell>
          <cell r="B341">
            <v>3.9005999999999998</v>
          </cell>
          <cell r="C341">
            <v>1</v>
          </cell>
          <cell r="D341">
            <v>32.19</v>
          </cell>
          <cell r="E341">
            <v>7.2435</v>
          </cell>
          <cell r="F341">
            <v>1.0621</v>
          </cell>
          <cell r="G341">
            <v>1</v>
          </cell>
          <cell r="H341">
            <v>1.0621</v>
          </cell>
          <cell r="I341">
            <v>1.3142</v>
          </cell>
          <cell r="J341">
            <v>1</v>
          </cell>
          <cell r="K341">
            <v>0</v>
          </cell>
          <cell r="L341">
            <v>0</v>
          </cell>
          <cell r="M341">
            <v>0</v>
          </cell>
        </row>
        <row r="342">
          <cell r="A342">
            <v>40697</v>
          </cell>
          <cell r="B342">
            <v>3.9171</v>
          </cell>
          <cell r="C342">
            <v>1</v>
          </cell>
          <cell r="D342">
            <v>32.35</v>
          </cell>
          <cell r="E342">
            <v>7.1685999999999996</v>
          </cell>
          <cell r="F342">
            <v>1.0666</v>
          </cell>
          <cell r="G342">
            <v>1</v>
          </cell>
          <cell r="H342">
            <v>1.0666</v>
          </cell>
          <cell r="I342">
            <v>1.3149</v>
          </cell>
          <cell r="J342">
            <v>1</v>
          </cell>
          <cell r="K342">
            <v>0</v>
          </cell>
          <cell r="L342">
            <v>0</v>
          </cell>
          <cell r="M342">
            <v>0</v>
          </cell>
        </row>
        <row r="343">
          <cell r="A343">
            <v>40698</v>
          </cell>
          <cell r="B343">
            <v>3.9171</v>
          </cell>
          <cell r="C343">
            <v>1</v>
          </cell>
          <cell r="D343">
            <v>32.35</v>
          </cell>
          <cell r="E343">
            <v>7.1685999999999996</v>
          </cell>
          <cell r="F343">
            <v>1.0666</v>
          </cell>
          <cell r="G343">
            <v>1</v>
          </cell>
          <cell r="H343">
            <v>1.0666</v>
          </cell>
          <cell r="I343">
            <v>1.3149</v>
          </cell>
          <cell r="J343">
            <v>1</v>
          </cell>
          <cell r="K343">
            <v>0</v>
          </cell>
          <cell r="L343">
            <v>0</v>
          </cell>
          <cell r="M343">
            <v>0</v>
          </cell>
        </row>
        <row r="344">
          <cell r="A344">
            <v>40699</v>
          </cell>
          <cell r="B344">
            <v>3.9171</v>
          </cell>
          <cell r="C344">
            <v>1</v>
          </cell>
          <cell r="D344">
            <v>32.35</v>
          </cell>
          <cell r="E344">
            <v>7.1685999999999996</v>
          </cell>
          <cell r="F344">
            <v>1.0666</v>
          </cell>
          <cell r="G344">
            <v>1</v>
          </cell>
          <cell r="H344">
            <v>1.0666</v>
          </cell>
          <cell r="I344">
            <v>1.3149</v>
          </cell>
          <cell r="J344">
            <v>1</v>
          </cell>
          <cell r="K344">
            <v>0</v>
          </cell>
          <cell r="L344">
            <v>0</v>
          </cell>
          <cell r="M344">
            <v>0</v>
          </cell>
        </row>
        <row r="345">
          <cell r="A345">
            <v>40700</v>
          </cell>
          <cell r="B345">
            <v>3.9445999999999999</v>
          </cell>
          <cell r="C345">
            <v>1</v>
          </cell>
          <cell r="D345">
            <v>32.53</v>
          </cell>
          <cell r="E345">
            <v>7.1957000000000004</v>
          </cell>
          <cell r="F345">
            <v>1.0741000000000001</v>
          </cell>
          <cell r="G345">
            <v>1</v>
          </cell>
          <cell r="H345">
            <v>1.0741000000000001</v>
          </cell>
          <cell r="I345">
            <v>1.3210999999999999</v>
          </cell>
          <cell r="J345">
            <v>1</v>
          </cell>
          <cell r="K345">
            <v>0</v>
          </cell>
          <cell r="L345">
            <v>0</v>
          </cell>
          <cell r="M345">
            <v>0</v>
          </cell>
        </row>
        <row r="346">
          <cell r="A346">
            <v>40701</v>
          </cell>
          <cell r="B346">
            <v>3.9226000000000001</v>
          </cell>
          <cell r="C346">
            <v>1</v>
          </cell>
          <cell r="D346">
            <v>32.35</v>
          </cell>
          <cell r="E346">
            <v>7.2393999999999998</v>
          </cell>
          <cell r="F346">
            <v>1.0681</v>
          </cell>
          <cell r="G346">
            <v>1</v>
          </cell>
          <cell r="H346">
            <v>1.0681</v>
          </cell>
          <cell r="I346">
            <v>1.3152999999999999</v>
          </cell>
          <cell r="J346">
            <v>1</v>
          </cell>
          <cell r="K346">
            <v>0</v>
          </cell>
          <cell r="L346">
            <v>0</v>
          </cell>
          <cell r="M346">
            <v>0</v>
          </cell>
        </row>
        <row r="347">
          <cell r="A347">
            <v>40702</v>
          </cell>
          <cell r="B347">
            <v>3.9188999999999998</v>
          </cell>
          <cell r="C347">
            <v>1</v>
          </cell>
          <cell r="D347">
            <v>32.340000000000003</v>
          </cell>
          <cell r="E347">
            <v>7.1725000000000003</v>
          </cell>
          <cell r="F347">
            <v>1.0670999999999999</v>
          </cell>
          <cell r="G347">
            <v>1</v>
          </cell>
          <cell r="H347">
            <v>1.0670999999999999</v>
          </cell>
          <cell r="I347">
            <v>1.3118000000000001</v>
          </cell>
          <cell r="J347">
            <v>1</v>
          </cell>
          <cell r="K347">
            <v>0</v>
          </cell>
          <cell r="L347">
            <v>0</v>
          </cell>
          <cell r="M347">
            <v>0</v>
          </cell>
        </row>
        <row r="348">
          <cell r="A348">
            <v>40703</v>
          </cell>
          <cell r="B348">
            <v>3.8858999999999999</v>
          </cell>
          <cell r="C348">
            <v>1</v>
          </cell>
          <cell r="D348">
            <v>32.21</v>
          </cell>
          <cell r="E348">
            <v>7.1182999999999996</v>
          </cell>
          <cell r="F348">
            <v>1.0581</v>
          </cell>
          <cell r="G348">
            <v>1</v>
          </cell>
          <cell r="H348">
            <v>1.0581</v>
          </cell>
          <cell r="I348">
            <v>1.3028</v>
          </cell>
          <cell r="J348">
            <v>1</v>
          </cell>
          <cell r="K348">
            <v>0</v>
          </cell>
          <cell r="L348">
            <v>0</v>
          </cell>
          <cell r="M348">
            <v>0</v>
          </cell>
        </row>
        <row r="349">
          <cell r="A349">
            <v>40704</v>
          </cell>
          <cell r="B349">
            <v>3.8921000000000001</v>
          </cell>
          <cell r="C349">
            <v>1</v>
          </cell>
          <cell r="D349">
            <v>32.229999999999997</v>
          </cell>
          <cell r="E349">
            <v>7.1551999999999998</v>
          </cell>
          <cell r="F349">
            <v>1.0598000000000001</v>
          </cell>
          <cell r="G349">
            <v>1</v>
          </cell>
          <cell r="H349">
            <v>1.0598000000000001</v>
          </cell>
          <cell r="I349">
            <v>1.3047</v>
          </cell>
          <cell r="J349">
            <v>1</v>
          </cell>
          <cell r="K349">
            <v>0</v>
          </cell>
          <cell r="L349">
            <v>0</v>
          </cell>
          <cell r="M349">
            <v>0</v>
          </cell>
        </row>
        <row r="350">
          <cell r="A350">
            <v>40705</v>
          </cell>
          <cell r="B350">
            <v>3.8921000000000001</v>
          </cell>
          <cell r="C350">
            <v>1</v>
          </cell>
          <cell r="D350">
            <v>32.229999999999997</v>
          </cell>
          <cell r="E350">
            <v>7.1551999999999998</v>
          </cell>
          <cell r="F350">
            <v>1.0598000000000001</v>
          </cell>
          <cell r="G350">
            <v>1</v>
          </cell>
          <cell r="H350">
            <v>1.0598000000000001</v>
          </cell>
          <cell r="I350">
            <v>1.3047</v>
          </cell>
          <cell r="J350">
            <v>1</v>
          </cell>
          <cell r="K350">
            <v>0</v>
          </cell>
          <cell r="L350">
            <v>0</v>
          </cell>
          <cell r="M350">
            <v>0</v>
          </cell>
        </row>
        <row r="351">
          <cell r="A351">
            <v>40706</v>
          </cell>
          <cell r="B351">
            <v>3.8921000000000001</v>
          </cell>
          <cell r="C351">
            <v>1</v>
          </cell>
          <cell r="D351">
            <v>32.229999999999997</v>
          </cell>
          <cell r="E351">
            <v>7.1551999999999998</v>
          </cell>
          <cell r="F351">
            <v>1.0598000000000001</v>
          </cell>
          <cell r="G351">
            <v>1</v>
          </cell>
          <cell r="H351">
            <v>1.0598000000000001</v>
          </cell>
          <cell r="I351">
            <v>1.3047</v>
          </cell>
          <cell r="J351">
            <v>1</v>
          </cell>
          <cell r="K351">
            <v>0</v>
          </cell>
          <cell r="L351">
            <v>0</v>
          </cell>
          <cell r="M351">
            <v>0</v>
          </cell>
        </row>
        <row r="352">
          <cell r="A352">
            <v>40707</v>
          </cell>
          <cell r="B352">
            <v>3.8921000000000001</v>
          </cell>
          <cell r="C352">
            <v>1</v>
          </cell>
          <cell r="D352">
            <v>32.229999999999997</v>
          </cell>
          <cell r="E352">
            <v>7.1551999999999998</v>
          </cell>
          <cell r="F352">
            <v>1.0598000000000001</v>
          </cell>
          <cell r="G352">
            <v>1</v>
          </cell>
          <cell r="H352">
            <v>1.0598000000000001</v>
          </cell>
          <cell r="I352">
            <v>1.3047</v>
          </cell>
          <cell r="J352">
            <v>1</v>
          </cell>
          <cell r="K352">
            <v>0</v>
          </cell>
          <cell r="L352">
            <v>0</v>
          </cell>
          <cell r="M352">
            <v>0</v>
          </cell>
        </row>
        <row r="353">
          <cell r="A353">
            <v>40708</v>
          </cell>
          <cell r="B353">
            <v>3.9060999999999999</v>
          </cell>
          <cell r="C353">
            <v>1</v>
          </cell>
          <cell r="D353">
            <v>32.409999999999997</v>
          </cell>
          <cell r="E353">
            <v>7.1944999999999997</v>
          </cell>
          <cell r="F353">
            <v>1.0636000000000001</v>
          </cell>
          <cell r="G353">
            <v>1</v>
          </cell>
          <cell r="H353">
            <v>1.0636000000000001</v>
          </cell>
          <cell r="I353">
            <v>1.3113999999999999</v>
          </cell>
          <cell r="J353">
            <v>1</v>
          </cell>
          <cell r="K353">
            <v>0</v>
          </cell>
          <cell r="L353">
            <v>0</v>
          </cell>
          <cell r="M353">
            <v>0</v>
          </cell>
        </row>
        <row r="354">
          <cell r="A354">
            <v>40709</v>
          </cell>
          <cell r="B354">
            <v>3.9321000000000002</v>
          </cell>
          <cell r="C354">
            <v>1</v>
          </cell>
          <cell r="D354">
            <v>32.61</v>
          </cell>
          <cell r="E354">
            <v>7.2378999999999998</v>
          </cell>
          <cell r="F354">
            <v>1.0707</v>
          </cell>
          <cell r="G354">
            <v>1</v>
          </cell>
          <cell r="H354">
            <v>1.0707</v>
          </cell>
          <cell r="I354">
            <v>1.3186</v>
          </cell>
          <cell r="J354">
            <v>1</v>
          </cell>
          <cell r="K354">
            <v>0</v>
          </cell>
          <cell r="L354">
            <v>0</v>
          </cell>
          <cell r="M354">
            <v>0</v>
          </cell>
        </row>
        <row r="355">
          <cell r="A355">
            <v>40710</v>
          </cell>
          <cell r="B355">
            <v>3.8660000000000001</v>
          </cell>
          <cell r="C355">
            <v>1</v>
          </cell>
          <cell r="D355">
            <v>32.24</v>
          </cell>
          <cell r="E355">
            <v>7.2</v>
          </cell>
          <cell r="F355">
            <v>1.0527</v>
          </cell>
          <cell r="G355">
            <v>1</v>
          </cell>
          <cell r="H355">
            <v>1.0527</v>
          </cell>
          <cell r="I355">
            <v>1.3069999999999999</v>
          </cell>
          <cell r="J355">
            <v>1</v>
          </cell>
          <cell r="K355">
            <v>0</v>
          </cell>
          <cell r="L355">
            <v>0</v>
          </cell>
          <cell r="M355">
            <v>0</v>
          </cell>
        </row>
        <row r="356">
          <cell r="A356">
            <v>40711</v>
          </cell>
          <cell r="B356">
            <v>3.8641999999999999</v>
          </cell>
          <cell r="C356">
            <v>1</v>
          </cell>
          <cell r="D356">
            <v>32.21</v>
          </cell>
          <cell r="E356">
            <v>7.2127999999999997</v>
          </cell>
          <cell r="F356">
            <v>1.0522</v>
          </cell>
          <cell r="G356">
            <v>1</v>
          </cell>
          <cell r="H356">
            <v>1.0522</v>
          </cell>
          <cell r="I356">
            <v>1.3048999999999999</v>
          </cell>
          <cell r="J356">
            <v>1</v>
          </cell>
          <cell r="K356">
            <v>0</v>
          </cell>
          <cell r="L356">
            <v>0</v>
          </cell>
          <cell r="M356">
            <v>0</v>
          </cell>
        </row>
        <row r="357">
          <cell r="A357">
            <v>40712</v>
          </cell>
          <cell r="B357">
            <v>3.8641999999999999</v>
          </cell>
          <cell r="C357">
            <v>1</v>
          </cell>
          <cell r="D357">
            <v>32.21</v>
          </cell>
          <cell r="E357">
            <v>7.2127999999999997</v>
          </cell>
          <cell r="F357">
            <v>1.0522</v>
          </cell>
          <cell r="G357">
            <v>1</v>
          </cell>
          <cell r="H357">
            <v>1.0522</v>
          </cell>
          <cell r="I357">
            <v>1.3048999999999999</v>
          </cell>
          <cell r="J357">
            <v>1</v>
          </cell>
          <cell r="K357">
            <v>0</v>
          </cell>
          <cell r="L357">
            <v>0</v>
          </cell>
          <cell r="M357">
            <v>0</v>
          </cell>
        </row>
        <row r="358">
          <cell r="A358">
            <v>40713</v>
          </cell>
          <cell r="B358">
            <v>3.8641999999999999</v>
          </cell>
          <cell r="C358">
            <v>1</v>
          </cell>
          <cell r="D358">
            <v>32.21</v>
          </cell>
          <cell r="E358">
            <v>7.2127999999999997</v>
          </cell>
          <cell r="F358">
            <v>1.0522</v>
          </cell>
          <cell r="G358">
            <v>1</v>
          </cell>
          <cell r="H358">
            <v>1.0522</v>
          </cell>
          <cell r="I358">
            <v>1.3048999999999999</v>
          </cell>
          <cell r="J358">
            <v>1</v>
          </cell>
          <cell r="K358">
            <v>0</v>
          </cell>
          <cell r="L358">
            <v>0</v>
          </cell>
          <cell r="M358">
            <v>0</v>
          </cell>
        </row>
        <row r="359">
          <cell r="A359">
            <v>40714</v>
          </cell>
          <cell r="B359">
            <v>3.8719000000000001</v>
          </cell>
          <cell r="C359">
            <v>1</v>
          </cell>
          <cell r="D359">
            <v>32.229999999999997</v>
          </cell>
          <cell r="E359">
            <v>7.1535000000000002</v>
          </cell>
          <cell r="F359">
            <v>1.0543</v>
          </cell>
          <cell r="G359">
            <v>1</v>
          </cell>
          <cell r="H359">
            <v>1.0543</v>
          </cell>
          <cell r="I359">
            <v>1.3044</v>
          </cell>
          <cell r="J359">
            <v>1</v>
          </cell>
          <cell r="K359">
            <v>0</v>
          </cell>
          <cell r="L359">
            <v>0</v>
          </cell>
          <cell r="M359">
            <v>0</v>
          </cell>
        </row>
        <row r="360">
          <cell r="A360">
            <v>40715</v>
          </cell>
          <cell r="B360">
            <v>3.8788999999999998</v>
          </cell>
          <cell r="C360">
            <v>1</v>
          </cell>
          <cell r="D360">
            <v>32.29</v>
          </cell>
          <cell r="E360">
            <v>7.1536</v>
          </cell>
          <cell r="F360">
            <v>1.0562</v>
          </cell>
          <cell r="G360">
            <v>1</v>
          </cell>
          <cell r="H360">
            <v>1.0562</v>
          </cell>
          <cell r="I360">
            <v>1.3049999999999999</v>
          </cell>
          <cell r="J360">
            <v>1</v>
          </cell>
          <cell r="K360">
            <v>0</v>
          </cell>
          <cell r="L360">
            <v>0</v>
          </cell>
          <cell r="M360">
            <v>0</v>
          </cell>
        </row>
        <row r="361">
          <cell r="A361">
            <v>40716</v>
          </cell>
          <cell r="B361">
            <v>3.8902999999999999</v>
          </cell>
          <cell r="C361">
            <v>1</v>
          </cell>
          <cell r="D361">
            <v>32.270000000000003</v>
          </cell>
          <cell r="E361">
            <v>7.1311999999999998</v>
          </cell>
          <cell r="F361">
            <v>1.0592999999999999</v>
          </cell>
          <cell r="G361">
            <v>1</v>
          </cell>
          <cell r="H361">
            <v>1.0592999999999999</v>
          </cell>
          <cell r="I361">
            <v>1.3055000000000001</v>
          </cell>
          <cell r="J361">
            <v>1</v>
          </cell>
          <cell r="K361">
            <v>0</v>
          </cell>
          <cell r="L361">
            <v>0</v>
          </cell>
          <cell r="M361">
            <v>0</v>
          </cell>
        </row>
        <row r="362">
          <cell r="A362">
            <v>40717</v>
          </cell>
          <cell r="B362">
            <v>3.8744999999999998</v>
          </cell>
          <cell r="C362">
            <v>1</v>
          </cell>
          <cell r="D362">
            <v>32.19</v>
          </cell>
          <cell r="E362">
            <v>7.1642000000000001</v>
          </cell>
          <cell r="F362">
            <v>1.0549999999999999</v>
          </cell>
          <cell r="G362">
            <v>1</v>
          </cell>
          <cell r="H362">
            <v>1.0549999999999999</v>
          </cell>
          <cell r="I362">
            <v>1.3028999999999999</v>
          </cell>
          <cell r="J362">
            <v>1</v>
          </cell>
          <cell r="K362">
            <v>0</v>
          </cell>
          <cell r="L362">
            <v>0</v>
          </cell>
          <cell r="M362">
            <v>0</v>
          </cell>
        </row>
        <row r="363">
          <cell r="A363">
            <v>40718</v>
          </cell>
          <cell r="B363">
            <v>3.8708</v>
          </cell>
          <cell r="C363">
            <v>1</v>
          </cell>
          <cell r="D363">
            <v>32.32</v>
          </cell>
          <cell r="E363">
            <v>7.2066999999999997</v>
          </cell>
          <cell r="F363">
            <v>1.054</v>
          </cell>
          <cell r="G363">
            <v>1</v>
          </cell>
          <cell r="H363">
            <v>1.054</v>
          </cell>
          <cell r="I363">
            <v>1.3022</v>
          </cell>
          <cell r="J363">
            <v>1</v>
          </cell>
          <cell r="K363">
            <v>0</v>
          </cell>
          <cell r="L363">
            <v>0</v>
          </cell>
          <cell r="M363">
            <v>0</v>
          </cell>
        </row>
        <row r="364">
          <cell r="A364">
            <v>40719</v>
          </cell>
          <cell r="B364">
            <v>3.8708</v>
          </cell>
          <cell r="C364">
            <v>1</v>
          </cell>
          <cell r="D364">
            <v>32.32</v>
          </cell>
          <cell r="E364">
            <v>7.2066999999999997</v>
          </cell>
          <cell r="F364">
            <v>1.054</v>
          </cell>
          <cell r="G364">
            <v>1</v>
          </cell>
          <cell r="H364">
            <v>1.054</v>
          </cell>
          <cell r="I364">
            <v>1.3022</v>
          </cell>
          <cell r="J364">
            <v>1</v>
          </cell>
          <cell r="K364">
            <v>0</v>
          </cell>
          <cell r="L364">
            <v>0</v>
          </cell>
          <cell r="M364">
            <v>0</v>
          </cell>
        </row>
        <row r="365">
          <cell r="A365">
            <v>40720</v>
          </cell>
          <cell r="B365">
            <v>3.8708</v>
          </cell>
          <cell r="C365">
            <v>1</v>
          </cell>
          <cell r="D365">
            <v>32.32</v>
          </cell>
          <cell r="E365">
            <v>7.2066999999999997</v>
          </cell>
          <cell r="F365">
            <v>1.054</v>
          </cell>
          <cell r="G365">
            <v>1</v>
          </cell>
          <cell r="H365">
            <v>1.054</v>
          </cell>
          <cell r="I365">
            <v>1.3022</v>
          </cell>
          <cell r="J365">
            <v>1</v>
          </cell>
          <cell r="K365">
            <v>0</v>
          </cell>
          <cell r="L365">
            <v>0</v>
          </cell>
          <cell r="M365">
            <v>0</v>
          </cell>
        </row>
        <row r="366">
          <cell r="A366">
            <v>40721</v>
          </cell>
          <cell r="B366">
            <v>3.8285999999999998</v>
          </cell>
          <cell r="C366">
            <v>1</v>
          </cell>
          <cell r="D366">
            <v>32.18</v>
          </cell>
          <cell r="E366">
            <v>7.1974</v>
          </cell>
          <cell r="F366">
            <v>1.0425</v>
          </cell>
          <cell r="G366">
            <v>1</v>
          </cell>
          <cell r="H366">
            <v>1.0425</v>
          </cell>
          <cell r="I366">
            <v>1.2956000000000001</v>
          </cell>
          <cell r="J366">
            <v>1</v>
          </cell>
          <cell r="K366">
            <v>0</v>
          </cell>
          <cell r="L366">
            <v>0</v>
          </cell>
          <cell r="M366">
            <v>0</v>
          </cell>
        </row>
        <row r="367">
          <cell r="A367">
            <v>40722</v>
          </cell>
          <cell r="B367">
            <v>3.8359000000000001</v>
          </cell>
          <cell r="C367">
            <v>1</v>
          </cell>
          <cell r="D367">
            <v>32.36</v>
          </cell>
          <cell r="E367">
            <v>7.1877000000000004</v>
          </cell>
          <cell r="F367">
            <v>1.0445</v>
          </cell>
          <cell r="G367">
            <v>1</v>
          </cell>
          <cell r="H367">
            <v>1.0445</v>
          </cell>
          <cell r="I367">
            <v>1.2984</v>
          </cell>
          <cell r="J367">
            <v>1</v>
          </cell>
          <cell r="K367">
            <v>0</v>
          </cell>
          <cell r="L367">
            <v>0</v>
          </cell>
          <cell r="M367">
            <v>0</v>
          </cell>
        </row>
        <row r="368">
          <cell r="A368">
            <v>40723</v>
          </cell>
          <cell r="B368">
            <v>3.8795999999999999</v>
          </cell>
          <cell r="C368">
            <v>1</v>
          </cell>
          <cell r="D368">
            <v>32.53</v>
          </cell>
          <cell r="E368">
            <v>7.2282000000000002</v>
          </cell>
          <cell r="F368">
            <v>1.0564</v>
          </cell>
          <cell r="G368">
            <v>1</v>
          </cell>
          <cell r="H368">
            <v>1.0564</v>
          </cell>
          <cell r="I368">
            <v>1.3084</v>
          </cell>
          <cell r="J368">
            <v>1</v>
          </cell>
          <cell r="K368">
            <v>0</v>
          </cell>
          <cell r="L368">
            <v>0</v>
          </cell>
          <cell r="M368">
            <v>0</v>
          </cell>
        </row>
        <row r="369">
          <cell r="A369">
            <v>40724</v>
          </cell>
          <cell r="B369">
            <v>3.9439000000000002</v>
          </cell>
          <cell r="C369">
            <v>1</v>
          </cell>
          <cell r="D369">
            <v>33</v>
          </cell>
          <cell r="E369">
            <v>7.2864000000000004</v>
          </cell>
          <cell r="F369">
            <v>1.0739000000000001</v>
          </cell>
          <cell r="G369">
            <v>1</v>
          </cell>
          <cell r="H369">
            <v>1.0739000000000001</v>
          </cell>
          <cell r="I369">
            <v>1.3204</v>
          </cell>
          <cell r="J369">
            <v>1</v>
          </cell>
          <cell r="K369">
            <v>0</v>
          </cell>
          <cell r="L369">
            <v>0</v>
          </cell>
          <cell r="M369">
            <v>0</v>
          </cell>
        </row>
      </sheetData>
      <sheetData sheetId="7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S4"/>
      <sheetName val="FINAL Trial Balance"/>
      <sheetName val="MYOB"/>
      <sheetName val="Sundry Debtors"/>
      <sheetName val="InvSched"/>
      <sheetName val="SSIncome"/>
      <sheetName val="Tax Rec"/>
      <sheetName val="Trust"/>
      <sheetName val="CG"/>
      <sheetName val="Bellevue Hill"/>
      <sheetName val="Sheet1"/>
      <sheetName val="MYOB Ledger - CMA"/>
      <sheetName val="MYOB Ledger - PRIM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put Info"/>
      <sheetName val="WP Index"/>
      <sheetName val="Template Workpaper (4)"/>
      <sheetName val="Standard Rates"/>
      <sheetName val="Standard Thresholds"/>
      <sheetName val="Journals (1 page)"/>
      <sheetName val="Tax Rec"/>
      <sheetName val="GST Rec"/>
      <sheetName val="Ind Tax Control"/>
      <sheetName val="F Fixed Assets"/>
      <sheetName val="Debtors"/>
      <sheetName val="Bank Rec"/>
      <sheetName val="Prepayments"/>
      <sheetName val="Livestock"/>
      <sheetName val="Trading Stock"/>
      <sheetName val="Borrowing Costs"/>
      <sheetName val="Low Value Pool"/>
      <sheetName val="I12 Dividend Summary"/>
      <sheetName val="I18 Capital Asset"/>
      <sheetName val="Building Write-Off"/>
      <sheetName val="Water Improvements Write-Off"/>
      <sheetName val="Mains Electricity Write-Off"/>
      <sheetName val="Div7A Loan"/>
      <sheetName val="Creditors"/>
      <sheetName val="AWB Loans"/>
      <sheetName val="Interest Calc"/>
      <sheetName val="Loan Schedule"/>
      <sheetName val="Interest Deduct"/>
      <sheetName val="Farm Income Split"/>
      <sheetName val="Rental"/>
      <sheetName val="Pvt Use"/>
      <sheetName val="Motor Vec WP"/>
      <sheetName val="Car FBT Stat method"/>
      <sheetName val="Car FBT Op Cost"/>
      <sheetName val="Wages Reconciliation"/>
      <sheetName val="SBE Worksheet"/>
      <sheetName val="Dist - Non Averaging"/>
      <sheetName val="Dist - Averaging"/>
      <sheetName val="Total Debt"/>
      <sheetName val="FMD's"/>
      <sheetName val="Drought Write-Off (s385-105)"/>
      <sheetName val="Drought Write-Off (s385-110)"/>
      <sheetName val="Template Workpaper"/>
      <sheetName val="Sheet1"/>
      <sheetName val="Work Paper 30.06.12"/>
    </sheetNames>
    <sheetDataSet>
      <sheetData sheetId="0">
        <row r="12">
          <cell r="C12" t="str">
            <v>NO</v>
          </cell>
        </row>
        <row r="13">
          <cell r="C13" t="str">
            <v>NO</v>
          </cell>
        </row>
        <row r="15">
          <cell r="C15" t="str">
            <v>NO</v>
          </cell>
        </row>
      </sheetData>
      <sheetData sheetId="1">
        <row r="10">
          <cell r="E10" t="str">
            <v>TAX RECONCILIATION</v>
          </cell>
        </row>
        <row r="18">
          <cell r="E18" t="str">
            <v>Livestock</v>
          </cell>
        </row>
        <row r="26">
          <cell r="E26" t="str">
            <v>Water Improvements Write-Off (farm)</v>
          </cell>
        </row>
        <row r="27">
          <cell r="E27" t="str">
            <v>Mains Electricity Write-Off (farm)</v>
          </cell>
        </row>
        <row r="31">
          <cell r="E31" t="str">
            <v>AWB Loan</v>
          </cell>
        </row>
        <row r="38">
          <cell r="E38" t="str">
            <v>Farm Income - Split into Primary and Non-Primary Income</v>
          </cell>
        </row>
        <row r="48">
          <cell r="E48" t="str">
            <v>Small Business Entity Worksheet and Average Turnover</v>
          </cell>
        </row>
        <row r="52">
          <cell r="E52" t="str">
            <v>Farm Management Deposit Record</v>
          </cell>
        </row>
      </sheetData>
      <sheetData sheetId="2"/>
      <sheetData sheetId="3">
        <row r="27">
          <cell r="C27">
            <v>1999</v>
          </cell>
          <cell r="D27">
            <v>6.7000000000000004E-2</v>
          </cell>
        </row>
        <row r="28">
          <cell r="C28">
            <v>2000</v>
          </cell>
          <cell r="D28">
            <v>6.5000000000000002E-2</v>
          </cell>
        </row>
        <row r="29">
          <cell r="C29">
            <v>2001</v>
          </cell>
          <cell r="D29">
            <v>7.8E-2</v>
          </cell>
        </row>
        <row r="30">
          <cell r="C30">
            <v>2002</v>
          </cell>
          <cell r="D30">
            <v>6.8000000000000005E-2</v>
          </cell>
        </row>
        <row r="31">
          <cell r="C31">
            <v>2003</v>
          </cell>
          <cell r="D31">
            <v>6.3E-2</v>
          </cell>
        </row>
        <row r="32">
          <cell r="C32">
            <v>2004</v>
          </cell>
          <cell r="D32">
            <v>6.5500000000000003E-2</v>
          </cell>
        </row>
        <row r="33">
          <cell r="C33">
            <v>2005</v>
          </cell>
          <cell r="D33">
            <v>7.0499999999999993E-2</v>
          </cell>
        </row>
        <row r="34">
          <cell r="C34">
            <v>2006</v>
          </cell>
          <cell r="D34">
            <v>7.2999999999999995E-2</v>
          </cell>
        </row>
        <row r="35">
          <cell r="C35">
            <v>2007</v>
          </cell>
          <cell r="D35">
            <v>7.5499999999999998E-2</v>
          </cell>
        </row>
        <row r="36">
          <cell r="C36">
            <v>2008</v>
          </cell>
          <cell r="D36">
            <v>8.0500000000000002E-2</v>
          </cell>
        </row>
        <row r="37">
          <cell r="C37">
            <v>2009</v>
          </cell>
        </row>
        <row r="38">
          <cell r="C38">
            <v>2010</v>
          </cell>
        </row>
      </sheetData>
      <sheetData sheetId="4"/>
      <sheetData sheetId="5"/>
      <sheetData sheetId="6"/>
      <sheetData sheetId="7"/>
      <sheetData sheetId="8"/>
      <sheetData sheetId="9"/>
      <sheetData sheetId="10">
        <row r="69">
          <cell r="C69">
            <v>0</v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44">
          <cell r="E44">
            <v>0</v>
          </cell>
        </row>
      </sheetData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>
        <row r="12">
          <cell r="K12">
            <v>2</v>
          </cell>
        </row>
        <row r="14">
          <cell r="H14">
            <v>0.09</v>
          </cell>
        </row>
      </sheetData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ome"/>
      <sheetName val="Index of Workpapers"/>
      <sheetName val="Index of Employees"/>
      <sheetName val="Index of Instructions"/>
      <sheetName val="FBT A MAPS"/>
      <sheetName val="FBT B Items Forward"/>
      <sheetName val="FBT C Review Notes"/>
      <sheetName val="FBT Summary"/>
      <sheetName val="FBT 2 Board"/>
      <sheetName val="FBT 2 Board (2)"/>
      <sheetName val="FBT 2 Board (3)"/>
      <sheetName val="FBT 2 Board (4)"/>
      <sheetName val="FBT 2 Board (5)"/>
      <sheetName val="FBT 3 Carparking"/>
      <sheetName val="FBT 4 Debt Waiver Benefits"/>
      <sheetName val="FBT 4 Debt Waiver Benefits (2)"/>
      <sheetName val="FBT 4 Debt Waiver Benefits (3)"/>
      <sheetName val="FBT 4 Debt Waiver Benefits (4)"/>
      <sheetName val="FBT 4 Debt Waiver Benefits (5)"/>
      <sheetName val="FBT 5 Entertainment"/>
      <sheetName val="FBT 6 Housing Benefits"/>
      <sheetName val="FBT 6 Housing Benefits (2)"/>
      <sheetName val="FBT 6 Housing Benefits (3)"/>
      <sheetName val="FBT 6 Housing Benefits (4)"/>
      <sheetName val="FBT 6 Housing Benefits (5)"/>
      <sheetName val="FBT 7 Housing Loan Benefits"/>
      <sheetName val="FBT 7 Housing Loan Benefits (2)"/>
      <sheetName val="FBT 7 Housing Loan Benefits (3)"/>
      <sheetName val="FBT 7 Housing Loan Benefits (4)"/>
      <sheetName val="FBT 7 Housing Loan Benefits (5)"/>
      <sheetName val="FBT 8 LAH Benefits"/>
      <sheetName val="FBT 8 LAH Benefits (2)"/>
      <sheetName val="FBT 8 LAH Benefits (3)"/>
      <sheetName val="FBT 8 LAH Benefits (4)"/>
      <sheetName val="FBT 8 LAH Benefits (5)"/>
      <sheetName val="FBT 9 Loan Benefits"/>
      <sheetName val="FBT 9 Loan Benefits (2)"/>
      <sheetName val="FBT 9 Loan Benefits (3)"/>
      <sheetName val="FBT 9 Loan Benefits (4)"/>
      <sheetName val="FBT 9 Loan Benefits (5)"/>
      <sheetName val="FBT 10 Car Benefits"/>
      <sheetName val="FBT 10 Car Benefits (2)"/>
      <sheetName val="FBT 10 Car Benefits (3)"/>
      <sheetName val="FBT 10 Car Benefits (4)"/>
      <sheetName val="FBT 10 Car Benefits (5)"/>
      <sheetName val="FBT 11 MV Other"/>
      <sheetName val="FBT 11 MV Other (2)"/>
      <sheetName val="FBT 11 MV Other (3)"/>
      <sheetName val="FBT 11 MV Other (4)"/>
      <sheetName val="FBT 11 MV Other (5)"/>
      <sheetName val="FBT 12 Property - External"/>
      <sheetName val="FBT 12 Property - External (2)"/>
      <sheetName val="FBT 12 Property - External (3)"/>
      <sheetName val="FBT 12 Property - External (4)"/>
      <sheetName val="FBT 12 Property - External (5)"/>
      <sheetName val="FBT 13 Property In-House"/>
      <sheetName val="FBT 13 Property In-House (2)"/>
      <sheetName val="FBT 13 Property In-House (3)"/>
      <sheetName val="FBT 13 Property In-House (4)"/>
      <sheetName val="FBT 13 Property In-House (5)"/>
      <sheetName val="FBT 14 Residual Benefits"/>
      <sheetName val="FBT 14 Residual Benefits (2)"/>
      <sheetName val="FBT 14 Residual Benefits (3)"/>
      <sheetName val="FBT 14 Residual Benefits (4)"/>
      <sheetName val="FBT 14 Residual Benefits (5)"/>
      <sheetName val="FBT 15 Expense Payments"/>
      <sheetName val="FBT 15 Expense Payments (2)"/>
      <sheetName val="FBT 15 Expense Payments (3)"/>
      <sheetName val="FBT 15 Expense Payments (4)"/>
      <sheetName val="FBT 15 Expense Payments (5)"/>
      <sheetName val="FBT 16 Contribution Journal"/>
      <sheetName val="FBT 16 Contribution Journal (2)"/>
      <sheetName val="FBT 16 Contribution Journal (3)"/>
      <sheetName val="FBT 16 Contribution Journal (4)"/>
      <sheetName val="FBT 16 Contribution Journal (5)"/>
      <sheetName val="FBT 17 Instalments Paid"/>
      <sheetName val="Employee 1"/>
      <sheetName val="Employee 2"/>
      <sheetName val="Employee 3"/>
      <sheetName val="Employee 4"/>
      <sheetName val="Employee 5"/>
      <sheetName val="Employee 6"/>
      <sheetName val="Employee 7"/>
      <sheetName val="Employee 8"/>
      <sheetName val="Employee 9"/>
      <sheetName val="Employee 10"/>
      <sheetName val="Employee 11"/>
      <sheetName val="Employee 12"/>
      <sheetName val="Employee 13"/>
      <sheetName val="Employee 14"/>
      <sheetName val="Employee 15"/>
      <sheetName val="Employee 16"/>
      <sheetName val="Employee 17"/>
      <sheetName val="Employee 18"/>
      <sheetName val="Employee 19"/>
      <sheetName val="Employee 20"/>
      <sheetName val="Employee 21"/>
      <sheetName val="Employee 22"/>
      <sheetName val="Employee 23"/>
      <sheetName val="Employee 24"/>
      <sheetName val="Employee 25"/>
      <sheetName val="Employee 26"/>
      <sheetName val="Employee 27"/>
      <sheetName val="Employee 28"/>
      <sheetName val="Employee 29"/>
      <sheetName val="Employee 30"/>
      <sheetName val="Rates"/>
      <sheetName val="Instruction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>
        <row r="72">
          <cell r="F72">
            <v>0</v>
          </cell>
        </row>
        <row r="74">
          <cell r="C74">
            <v>0</v>
          </cell>
        </row>
        <row r="79">
          <cell r="C79">
            <v>0</v>
          </cell>
        </row>
      </sheetData>
      <sheetData sheetId="42" refreshError="1">
        <row r="72">
          <cell r="F72">
            <v>0</v>
          </cell>
        </row>
        <row r="74">
          <cell r="C74">
            <v>0</v>
          </cell>
        </row>
        <row r="79">
          <cell r="C79">
            <v>0</v>
          </cell>
        </row>
      </sheetData>
      <sheetData sheetId="43" refreshError="1">
        <row r="72">
          <cell r="F72">
            <v>0</v>
          </cell>
        </row>
        <row r="74">
          <cell r="C74">
            <v>0</v>
          </cell>
        </row>
        <row r="79">
          <cell r="C79">
            <v>0</v>
          </cell>
        </row>
      </sheetData>
      <sheetData sheetId="44" refreshError="1">
        <row r="72">
          <cell r="F72">
            <v>0</v>
          </cell>
        </row>
        <row r="74">
          <cell r="C74">
            <v>0</v>
          </cell>
        </row>
        <row r="79">
          <cell r="C79">
            <v>0</v>
          </cell>
        </row>
      </sheetData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Home"/>
      <sheetName val="Index of Workpapers"/>
      <sheetName val="Index of Employees"/>
      <sheetName val="Index of Instructions"/>
      <sheetName val="FBT A MAPS"/>
      <sheetName val="FBT B Items Forward"/>
      <sheetName val="FBT C Review Notes"/>
      <sheetName val="FBT Summary"/>
      <sheetName val="FBT 2 Board"/>
      <sheetName val="FBT 2 Board (2)"/>
      <sheetName val="FBT 2 Board (3)"/>
      <sheetName val="FBT 2 Board (4)"/>
      <sheetName val="FBT 2 Board (5)"/>
      <sheetName val="FBT 3 Carparking"/>
      <sheetName val="FBT 4 Debt Waiver Benefits"/>
      <sheetName val="FBT 4 Debt Waiver Benefits (2)"/>
      <sheetName val="FBT 4 Debt Waiver Benefits (3)"/>
      <sheetName val="FBT 4 Debt Waiver Benefits (4)"/>
      <sheetName val="FBT 4 Debt Waiver Benefits (5)"/>
      <sheetName val="FBT 5 Entertainment"/>
      <sheetName val="FBT 6 Housing Benefits"/>
      <sheetName val="FBT 6 Housing Benefits (2)"/>
      <sheetName val="FBT 6 Housing Benefits (3)"/>
      <sheetName val="FBT 6 Housing Benefits (4)"/>
      <sheetName val="FBT 6 Housing Benefits (5)"/>
      <sheetName val="FBT 7 Housing Loan Benefits"/>
      <sheetName val="FBT 7 Housing Loan Benefits (2)"/>
      <sheetName val="FBT 7 Housing Loan Benefits (3)"/>
      <sheetName val="FBT 7 Housing Loan Benefits (4)"/>
      <sheetName val="FBT 7 Housing Loan Benefits (5)"/>
      <sheetName val="FBT 8 LAH Benefits"/>
      <sheetName val="FBT 8 LAH Benefits (2)"/>
      <sheetName val="FBT 8 LAH Benefits (3)"/>
      <sheetName val="FBT 8 LAH Benefits (4)"/>
      <sheetName val="FBT 8 LAH Benefits (5)"/>
      <sheetName val="FBT 9 Loan Benefits"/>
      <sheetName val="FBT 9 Loan Benefits (2)"/>
      <sheetName val="FBT 9 Loan Benefits (3)"/>
      <sheetName val="FBT 9 Loan Benefits (4)"/>
      <sheetName val="FBT 9 Loan Benefits (5)"/>
      <sheetName val="FBT 10 Car Benefits"/>
      <sheetName val="FBT 10 Car Benefits (2)"/>
      <sheetName val="FBT 10 Car Benefits (3)"/>
      <sheetName val="FBT 10 Car Benefits (4)"/>
      <sheetName val="FBT 10 Car Benefits (5)"/>
      <sheetName val="FBT 11 MV Other"/>
      <sheetName val="FBT 11 MV Other (2)"/>
      <sheetName val="FBT 11 MV Other (3)"/>
      <sheetName val="FBT 11 MV Other (4)"/>
      <sheetName val="FBT 11 MV Other (5)"/>
      <sheetName val="FBT 12 Property - External"/>
      <sheetName val="FBT 12 Property - External (2)"/>
      <sheetName val="FBT 12 Property - External (3)"/>
      <sheetName val="FBT 12 Property - External (4)"/>
      <sheetName val="FBT 12 Property - External (5)"/>
      <sheetName val="FBT 13 Property In-House"/>
      <sheetName val="FBT 13 Property In-House (2)"/>
      <sheetName val="FBT 13 Property In-House (3)"/>
      <sheetName val="FBT 13 Property In-House (4)"/>
      <sheetName val="FBT 13 Property In-House (5)"/>
      <sheetName val="FBT 14 Residual Benefits"/>
      <sheetName val="FBT 14 Residual Benefits (2)"/>
      <sheetName val="FBT 14 Residual Benefits (3)"/>
      <sheetName val="FBT 14 Residual Benefits (4)"/>
      <sheetName val="FBT 14 Residual Benefits (5)"/>
      <sheetName val="FBT 15 Expense Payments"/>
      <sheetName val="FBT 15 Expense Payments (2)"/>
      <sheetName val="FBT 15 Expense Payments (3)"/>
      <sheetName val="FBT 15 Expense Payments (4)"/>
      <sheetName val="FBT 15 Expense Payments (5)"/>
      <sheetName val="FBT 16 Contribution Journal"/>
      <sheetName val="FBT 16 Contribution Journal (2)"/>
      <sheetName val="FBT 16 Contribution Journal (3)"/>
      <sheetName val="FBT 16 Contribution Journal (4)"/>
      <sheetName val="FBT 16 Contribution Journal (5)"/>
      <sheetName val="FBT 17 Instalments Paid"/>
      <sheetName val="Employee 1"/>
      <sheetName val="Employee 2"/>
      <sheetName val="Employee 3"/>
      <sheetName val="Employee 4"/>
      <sheetName val="Employee 5"/>
      <sheetName val="Employee 6"/>
      <sheetName val="Employee 7"/>
      <sheetName val="Employee 8"/>
      <sheetName val="Employee 9"/>
      <sheetName val="Employee 10"/>
      <sheetName val="Employee 11"/>
      <sheetName val="Employee 12"/>
      <sheetName val="Employee 13"/>
      <sheetName val="Employee 14"/>
      <sheetName val="Employee 15"/>
      <sheetName val="Employee 16"/>
      <sheetName val="Employee 17"/>
      <sheetName val="Employee 18"/>
      <sheetName val="Employee 19"/>
      <sheetName val="Employee 20"/>
      <sheetName val="Employee 21"/>
      <sheetName val="Employee 22"/>
      <sheetName val="Employee 23"/>
      <sheetName val="Employee 24"/>
      <sheetName val="Employee 25"/>
      <sheetName val="Employee 26"/>
      <sheetName val="Employee 27"/>
      <sheetName val="Employee 28"/>
      <sheetName val="Employee 29"/>
      <sheetName val="Employee 30"/>
      <sheetName val="Rates"/>
      <sheetName val="Instruction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>
        <row r="72">
          <cell r="F72">
            <v>0</v>
          </cell>
        </row>
        <row r="74">
          <cell r="C74">
            <v>0</v>
          </cell>
        </row>
        <row r="79">
          <cell r="C79">
            <v>0</v>
          </cell>
        </row>
      </sheetData>
      <sheetData sheetId="42" refreshError="1">
        <row r="72">
          <cell r="F72">
            <v>0</v>
          </cell>
        </row>
        <row r="74">
          <cell r="C74">
            <v>0</v>
          </cell>
        </row>
        <row r="79">
          <cell r="C79">
            <v>0</v>
          </cell>
        </row>
      </sheetData>
      <sheetData sheetId="43" refreshError="1">
        <row r="72">
          <cell r="F72">
            <v>0</v>
          </cell>
        </row>
        <row r="74">
          <cell r="C74">
            <v>0</v>
          </cell>
        </row>
        <row r="79">
          <cell r="C79">
            <v>0</v>
          </cell>
        </row>
      </sheetData>
      <sheetData sheetId="44" refreshError="1">
        <row r="72">
          <cell r="F72">
            <v>0</v>
          </cell>
        </row>
        <row r="74">
          <cell r="C74">
            <v>0</v>
          </cell>
        </row>
        <row r="79">
          <cell r="C79">
            <v>0</v>
          </cell>
        </row>
      </sheetData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dex"/>
      <sheetName val="Home"/>
    </sheetNames>
    <sheetDataSet>
      <sheetData sheetId="0" refreshError="1"/>
      <sheetData sheetId="1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sclaimer"/>
      <sheetName val="Inputs and assumptions"/>
      <sheetName val="Spreadsheet"/>
    </sheetNames>
    <sheetDataSet>
      <sheetData sheetId="0" refreshError="1"/>
      <sheetData sheetId="1" refreshError="1">
        <row r="7">
          <cell r="D7">
            <v>377000</v>
          </cell>
        </row>
        <row r="10">
          <cell r="D10">
            <v>393680</v>
          </cell>
        </row>
        <row r="24">
          <cell r="D24">
            <v>0.04</v>
          </cell>
        </row>
        <row r="25">
          <cell r="D25">
            <v>0.03</v>
          </cell>
        </row>
        <row r="43">
          <cell r="D43">
            <v>0.02</v>
          </cell>
        </row>
        <row r="46">
          <cell r="D46">
            <v>0.3</v>
          </cell>
        </row>
      </sheetData>
      <sheetData sheetId="2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NSW_Properties"/>
      <sheetName val="HNSW_StatusLog"/>
      <sheetName val="HNSW_ItemsCount"/>
      <sheetName val="Home"/>
      <sheetName val="Index"/>
      <sheetName val="B01 Summary"/>
      <sheetName val="Tax Rates"/>
      <sheetName val="MV Rates"/>
      <sheetName val="01 Wages"/>
      <sheetName val="10 Interest Rec"/>
      <sheetName val="21A Rental Property"/>
      <sheetName val="11 Dividends Received"/>
      <sheetName val="D10 Cost Managing Tax"/>
      <sheetName val="D15 Other Deductions"/>
      <sheetName val="Z02 Spare Worksheet - List"/>
      <sheetName val="D03 Work Clothing"/>
      <sheetName val="D05 Other Work Deductions"/>
      <sheetName val="T10 Other Tax Offsets"/>
      <sheetName val="A05 Review Points"/>
    </sheetNames>
    <sheetDataSet>
      <sheetData sheetId="0"/>
      <sheetData sheetId="1"/>
      <sheetData sheetId="2"/>
      <sheetData sheetId="3">
        <row r="6">
          <cell r="C6" t="str">
            <v>Shane Gary Crump</v>
          </cell>
        </row>
        <row r="14">
          <cell r="F14">
            <v>43646</v>
          </cell>
        </row>
        <row r="49">
          <cell r="J49" t="str">
            <v>Select Status</v>
          </cell>
        </row>
        <row r="50">
          <cell r="J50" t="str">
            <v>Started</v>
          </cell>
        </row>
        <row r="51">
          <cell r="J51" t="str">
            <v>Client Query</v>
          </cell>
        </row>
        <row r="52">
          <cell r="J52" t="str">
            <v>Ready for Review</v>
          </cell>
        </row>
        <row r="53">
          <cell r="J53" t="str">
            <v>Rework Required</v>
          </cell>
        </row>
        <row r="54">
          <cell r="J54" t="str">
            <v>Rework Complete</v>
          </cell>
        </row>
        <row r="55">
          <cell r="J55" t="str">
            <v>Reviewed</v>
          </cell>
        </row>
        <row r="56">
          <cell r="J56" t="str">
            <v>Partner Approved</v>
          </cell>
        </row>
        <row r="57">
          <cell r="J57" t="str">
            <v>Complete</v>
          </cell>
        </row>
      </sheetData>
      <sheetData sheetId="4"/>
      <sheetData sheetId="5">
        <row r="62">
          <cell r="J62">
            <v>73.298571428571421</v>
          </cell>
        </row>
        <row r="100">
          <cell r="J100">
            <v>0</v>
          </cell>
        </row>
        <row r="112">
          <cell r="J112">
            <v>0</v>
          </cell>
        </row>
        <row r="113">
          <cell r="J113">
            <v>0</v>
          </cell>
        </row>
        <row r="133">
          <cell r="J133">
            <v>0</v>
          </cell>
        </row>
        <row r="137">
          <cell r="J137">
            <v>0</v>
          </cell>
        </row>
        <row r="144">
          <cell r="J144">
            <v>-12541.29</v>
          </cell>
        </row>
        <row r="150">
          <cell r="J150">
            <v>0</v>
          </cell>
        </row>
        <row r="154">
          <cell r="J154">
            <v>0</v>
          </cell>
        </row>
        <row r="198">
          <cell r="J198">
            <v>68864.608571428558</v>
          </cell>
        </row>
      </sheetData>
      <sheetData sheetId="6">
        <row r="4">
          <cell r="D4">
            <v>18200</v>
          </cell>
        </row>
        <row r="5">
          <cell r="F5">
            <v>37000</v>
          </cell>
          <cell r="G5">
            <v>3572</v>
          </cell>
          <cell r="H5">
            <v>0.19</v>
          </cell>
        </row>
        <row r="6">
          <cell r="D6">
            <v>37001</v>
          </cell>
          <cell r="F6">
            <v>90000</v>
          </cell>
          <cell r="G6">
            <v>20797</v>
          </cell>
          <cell r="H6">
            <v>0.32500000000000001</v>
          </cell>
        </row>
        <row r="7">
          <cell r="D7">
            <v>90001</v>
          </cell>
          <cell r="F7">
            <v>180000</v>
          </cell>
          <cell r="G7">
            <v>54097</v>
          </cell>
          <cell r="H7">
            <v>0.37</v>
          </cell>
        </row>
        <row r="8">
          <cell r="D8">
            <v>180000</v>
          </cell>
          <cell r="H8">
            <v>0.45</v>
          </cell>
        </row>
        <row r="14">
          <cell r="D14">
            <v>22398</v>
          </cell>
        </row>
        <row r="15">
          <cell r="D15">
            <v>22399</v>
          </cell>
          <cell r="F15">
            <v>27997</v>
          </cell>
          <cell r="H15">
            <v>0.1</v>
          </cell>
        </row>
        <row r="16">
          <cell r="D16">
            <v>27998</v>
          </cell>
          <cell r="H16">
            <v>0.02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MORT"/>
      <sheetName val="DATA"/>
    </sheetNames>
    <sheetDataSet>
      <sheetData sheetId="0" refreshError="1"/>
      <sheetData sheetId="1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S4"/>
      <sheetName val="FINAL Trial Balance"/>
      <sheetName val="MYOB"/>
      <sheetName val="Sundry Debtors"/>
      <sheetName val="InvSched"/>
      <sheetName val="SSIncome"/>
      <sheetName val="Tax Rec"/>
      <sheetName val="Trust"/>
      <sheetName val="CG"/>
      <sheetName val="Bellevue Hill"/>
      <sheetName val="Sheet1"/>
      <sheetName val="MYOB Ledger - CMA"/>
      <sheetName val="MYOB Ledger - PRIM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ile Index"/>
      <sheetName val="Standard Rates"/>
      <sheetName val="Billing Budget"/>
      <sheetName val="Start Checklist"/>
      <sheetName val="Carry Forward Notes - This Year"/>
      <sheetName val="Carry Forward Notes - Next Year"/>
      <sheetName val="ITR Cover Sheet"/>
      <sheetName val="Printing Checklist"/>
      <sheetName val="WCWDFY"/>
      <sheetName val="Client File Note"/>
      <sheetName val="Review Issues Sheet"/>
      <sheetName val="Tax Advice"/>
      <sheetName val="Tax Rec"/>
      <sheetName val="Tax Rec PP"/>
      <sheetName val="STS Worksheet"/>
      <sheetName val="QA Checklist"/>
      <sheetName val="End Of Engagement Checklist"/>
      <sheetName val="Client Risk Assessment"/>
      <sheetName val="Checklist - At-Call Loan"/>
      <sheetName val="Checklist - Div7A"/>
      <sheetName val="Checklist - FTE"/>
      <sheetName val="Checklist - P'ship Doco"/>
      <sheetName val="Checklist - Trust Deed"/>
      <sheetName val="Checklist - Workers Comp"/>
      <sheetName val="Checklist - Service Entity"/>
      <sheetName val="Checklist - PSI"/>
      <sheetName val="Standard Checklists 2007 v4 dra"/>
    </sheetNames>
    <sheetDataSet>
      <sheetData sheetId="0">
        <row r="33">
          <cell r="D33" t="str">
            <v>JOURNALS AND COMPUTER WORK SHEETS</v>
          </cell>
        </row>
      </sheetData>
      <sheetData sheetId="1"/>
      <sheetData sheetId="2" refreshError="1"/>
      <sheetData sheetId="3"/>
      <sheetData sheetId="4" refreshError="1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/>
      <sheetData sheetId="13" refreshError="1"/>
      <sheetData sheetId="14"/>
      <sheetData sheetId="15"/>
      <sheetData sheetId="16" refreshError="1"/>
      <sheetData sheetId="17" refreshError="1"/>
      <sheetData sheetId="18" refreshError="1"/>
      <sheetData sheetId="19" refreshError="1"/>
      <sheetData sheetId="20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ttribution"/>
      <sheetName val="2014 - 2015"/>
      <sheetName val="Summary"/>
      <sheetName val="Omitted Income"/>
      <sheetName val="Income and tax withheld"/>
      <sheetName val="Expenses"/>
      <sheetName val="Forex (2)"/>
      <sheetName val="Forex"/>
      <sheetName val="Capital gains"/>
      <sheetName val="Forex 8 - IDB"/>
      <sheetName val="Statement of assets"/>
      <sheetName val="Interest 2009"/>
      <sheetName val="Interest 2010"/>
      <sheetName val="Interest 2013"/>
      <sheetName val="Interest 2012"/>
      <sheetName val="Inputs"/>
      <sheetName val="Forex 8 - CBA"/>
      <sheetName val="Forex Mastersheet"/>
      <sheetName val="Currency Tabl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/>
      <sheetData sheetId="6"/>
      <sheetData sheetId="7" refreshError="1"/>
      <sheetData sheetId="8" refreshError="1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>
        <row r="4">
          <cell r="A4" t="str">
            <v>To</v>
          </cell>
          <cell r="B4" t="str">
            <v>From</v>
          </cell>
          <cell r="C4" t="str">
            <v>Rate</v>
          </cell>
          <cell r="D4" t="str">
            <v>Cumulative</v>
          </cell>
          <cell r="E4" t="str">
            <v>Leap year</v>
          </cell>
          <cell r="G4" t="str">
            <v>GIC</v>
          </cell>
          <cell r="I4" t="str">
            <v>Intentional disregard</v>
          </cell>
          <cell r="L4" t="str">
            <v>Start Date</v>
          </cell>
          <cell r="M4" t="str">
            <v>End Date</v>
          </cell>
          <cell r="N4" t="str">
            <v>GIC</v>
          </cell>
          <cell r="O4" t="str">
            <v>SIC</v>
          </cell>
          <cell r="P4" t="str">
            <v>Base</v>
          </cell>
          <cell r="Q4" t="str">
            <v>½ GIC</v>
          </cell>
          <cell r="R4" t="str">
            <v>½ SIC</v>
          </cell>
          <cell r="U4" t="str">
            <v>Unprompted</v>
          </cell>
        </row>
        <row r="5">
          <cell r="A5">
            <v>30498</v>
          </cell>
          <cell r="B5">
            <v>30681</v>
          </cell>
          <cell r="C5" t="e">
            <v>#REF!</v>
          </cell>
          <cell r="D5" t="str">
            <v>No</v>
          </cell>
          <cell r="E5" t="str">
            <v>No</v>
          </cell>
          <cell r="G5" t="str">
            <v>SIC</v>
          </cell>
          <cell r="I5" t="str">
            <v>Recklessness</v>
          </cell>
          <cell r="L5">
            <v>30498</v>
          </cell>
          <cell r="M5">
            <v>30681</v>
          </cell>
          <cell r="N5">
            <v>0.14026</v>
          </cell>
          <cell r="O5">
            <v>0.14026</v>
          </cell>
          <cell r="P5">
            <v>0.14026</v>
          </cell>
          <cell r="Q5">
            <v>7.0129999999999998E-2</v>
          </cell>
          <cell r="R5">
            <v>7.0129999999999998E-2</v>
          </cell>
          <cell r="U5" t="str">
            <v>Prompted</v>
          </cell>
        </row>
        <row r="6">
          <cell r="A6">
            <v>30682</v>
          </cell>
          <cell r="B6">
            <v>30863</v>
          </cell>
          <cell r="C6" t="e">
            <v>#REF!</v>
          </cell>
          <cell r="D6" t="str">
            <v>No</v>
          </cell>
          <cell r="E6" t="str">
            <v>Yes</v>
          </cell>
          <cell r="G6" t="str">
            <v>Base rate</v>
          </cell>
          <cell r="I6" t="str">
            <v>No reasonable care</v>
          </cell>
          <cell r="L6">
            <v>30682</v>
          </cell>
          <cell r="M6">
            <v>30863</v>
          </cell>
          <cell r="N6">
            <v>0.14026</v>
          </cell>
          <cell r="O6">
            <v>0.14026</v>
          </cell>
          <cell r="P6">
            <v>0.14026</v>
          </cell>
          <cell r="Q6">
            <v>7.0129999999999998E-2</v>
          </cell>
          <cell r="R6">
            <v>7.0129999999999998E-2</v>
          </cell>
          <cell r="U6" t="str">
            <v>No</v>
          </cell>
        </row>
        <row r="7">
          <cell r="A7">
            <v>30864</v>
          </cell>
          <cell r="B7">
            <v>31047</v>
          </cell>
          <cell r="C7" t="e">
            <v>#REF!</v>
          </cell>
          <cell r="D7" t="str">
            <v>No</v>
          </cell>
          <cell r="E7" t="str">
            <v>Yes</v>
          </cell>
          <cell r="G7" t="str">
            <v>½ GIC</v>
          </cell>
          <cell r="I7" t="str">
            <v>Not reasonably arguable</v>
          </cell>
          <cell r="L7">
            <v>30864</v>
          </cell>
          <cell r="M7">
            <v>31047</v>
          </cell>
          <cell r="N7">
            <v>0.14026</v>
          </cell>
          <cell r="O7">
            <v>0.14026</v>
          </cell>
          <cell r="P7">
            <v>0.14026</v>
          </cell>
          <cell r="Q7">
            <v>7.0129999999999998E-2</v>
          </cell>
          <cell r="R7">
            <v>7.0129999999999998E-2</v>
          </cell>
        </row>
        <row r="8">
          <cell r="A8">
            <v>31048</v>
          </cell>
          <cell r="B8">
            <v>31228</v>
          </cell>
          <cell r="C8" t="e">
            <v>#REF!</v>
          </cell>
          <cell r="D8" t="str">
            <v>No</v>
          </cell>
          <cell r="E8" t="str">
            <v>No</v>
          </cell>
          <cell r="G8" t="str">
            <v>½ SIC</v>
          </cell>
          <cell r="I8" t="str">
            <v>None</v>
          </cell>
          <cell r="L8">
            <v>31048</v>
          </cell>
          <cell r="M8">
            <v>31228</v>
          </cell>
          <cell r="N8">
            <v>0.14026</v>
          </cell>
          <cell r="O8">
            <v>0.14026</v>
          </cell>
          <cell r="P8">
            <v>0.14026</v>
          </cell>
          <cell r="Q8">
            <v>7.0129999999999998E-2</v>
          </cell>
          <cell r="R8">
            <v>7.0129999999999998E-2</v>
          </cell>
        </row>
        <row r="9">
          <cell r="A9">
            <v>31229</v>
          </cell>
          <cell r="B9">
            <v>31412</v>
          </cell>
          <cell r="C9" t="e">
            <v>#REF!</v>
          </cell>
          <cell r="D9" t="str">
            <v>No</v>
          </cell>
          <cell r="E9" t="str">
            <v>No</v>
          </cell>
          <cell r="G9" t="str">
            <v>Overpayments - Simple Interest</v>
          </cell>
          <cell r="L9">
            <v>31229</v>
          </cell>
          <cell r="M9">
            <v>31412</v>
          </cell>
          <cell r="N9">
            <v>0.14026</v>
          </cell>
          <cell r="O9">
            <v>0.14026</v>
          </cell>
          <cell r="P9">
            <v>0.14026</v>
          </cell>
          <cell r="Q9">
            <v>7.0129999999999998E-2</v>
          </cell>
          <cell r="R9">
            <v>7.0129999999999998E-2</v>
          </cell>
        </row>
        <row r="10">
          <cell r="A10">
            <v>31413</v>
          </cell>
          <cell r="B10">
            <v>31593</v>
          </cell>
          <cell r="C10" t="e">
            <v>#REF!</v>
          </cell>
          <cell r="D10" t="str">
            <v>No</v>
          </cell>
          <cell r="E10" t="str">
            <v>No</v>
          </cell>
          <cell r="G10" t="str">
            <v>Nil</v>
          </cell>
          <cell r="L10">
            <v>31413</v>
          </cell>
          <cell r="M10">
            <v>31593</v>
          </cell>
          <cell r="N10">
            <v>0.14026</v>
          </cell>
          <cell r="O10">
            <v>0.14026</v>
          </cell>
          <cell r="P10">
            <v>0.14026</v>
          </cell>
          <cell r="Q10">
            <v>7.0129999999999998E-2</v>
          </cell>
          <cell r="R10">
            <v>7.0129999999999998E-2</v>
          </cell>
        </row>
        <row r="11">
          <cell r="A11">
            <v>31594</v>
          </cell>
          <cell r="B11">
            <v>31777</v>
          </cell>
          <cell r="C11" t="e">
            <v>#REF!</v>
          </cell>
          <cell r="D11" t="str">
            <v>No</v>
          </cell>
          <cell r="E11" t="str">
            <v>No</v>
          </cell>
          <cell r="L11">
            <v>31594</v>
          </cell>
          <cell r="M11">
            <v>31777</v>
          </cell>
          <cell r="N11">
            <v>0.14026</v>
          </cell>
          <cell r="O11">
            <v>0.14026</v>
          </cell>
          <cell r="P11">
            <v>0.14026</v>
          </cell>
          <cell r="Q11">
            <v>7.0129999999999998E-2</v>
          </cell>
          <cell r="R11">
            <v>7.0129999999999998E-2</v>
          </cell>
        </row>
        <row r="12">
          <cell r="A12">
            <v>31778</v>
          </cell>
          <cell r="B12">
            <v>31958</v>
          </cell>
          <cell r="C12" t="e">
            <v>#REF!</v>
          </cell>
          <cell r="D12" t="str">
            <v>No</v>
          </cell>
          <cell r="E12" t="str">
            <v>No</v>
          </cell>
          <cell r="L12">
            <v>31778</v>
          </cell>
          <cell r="M12">
            <v>31958</v>
          </cell>
          <cell r="N12">
            <v>0.14026</v>
          </cell>
          <cell r="O12">
            <v>0.14026</v>
          </cell>
          <cell r="P12">
            <v>0.14026</v>
          </cell>
          <cell r="Q12">
            <v>7.0129999999999998E-2</v>
          </cell>
          <cell r="R12">
            <v>7.0129999999999998E-2</v>
          </cell>
        </row>
        <row r="13">
          <cell r="A13">
            <v>31959</v>
          </cell>
          <cell r="B13">
            <v>32142</v>
          </cell>
          <cell r="C13" t="e">
            <v>#REF!</v>
          </cell>
          <cell r="D13" t="str">
            <v>No</v>
          </cell>
          <cell r="E13" t="str">
            <v>No</v>
          </cell>
          <cell r="L13">
            <v>31959</v>
          </cell>
          <cell r="M13">
            <v>32142</v>
          </cell>
          <cell r="N13">
            <v>0.14026</v>
          </cell>
          <cell r="O13">
            <v>0.14026</v>
          </cell>
          <cell r="P13">
            <v>0.14026</v>
          </cell>
          <cell r="Q13">
            <v>7.0129999999999998E-2</v>
          </cell>
          <cell r="R13">
            <v>7.0129999999999998E-2</v>
          </cell>
        </row>
        <row r="14">
          <cell r="A14">
            <v>32143</v>
          </cell>
          <cell r="B14">
            <v>32324</v>
          </cell>
          <cell r="C14" t="e">
            <v>#REF!</v>
          </cell>
          <cell r="D14" t="str">
            <v>No</v>
          </cell>
          <cell r="E14" t="str">
            <v>Yes</v>
          </cell>
          <cell r="L14">
            <v>32143</v>
          </cell>
          <cell r="M14">
            <v>32324</v>
          </cell>
          <cell r="N14">
            <v>0.14026</v>
          </cell>
          <cell r="O14">
            <v>0.14026</v>
          </cell>
          <cell r="P14">
            <v>0.14026</v>
          </cell>
          <cell r="Q14">
            <v>7.0129999999999998E-2</v>
          </cell>
          <cell r="R14">
            <v>7.0129999999999998E-2</v>
          </cell>
        </row>
        <row r="15">
          <cell r="A15">
            <v>32325</v>
          </cell>
          <cell r="B15">
            <v>32508</v>
          </cell>
          <cell r="C15" t="e">
            <v>#REF!</v>
          </cell>
          <cell r="D15" t="str">
            <v>No</v>
          </cell>
          <cell r="E15" t="str">
            <v>Yes</v>
          </cell>
          <cell r="L15">
            <v>32325</v>
          </cell>
          <cell r="M15">
            <v>32508</v>
          </cell>
          <cell r="N15">
            <v>0.14026</v>
          </cell>
          <cell r="O15">
            <v>0.14026</v>
          </cell>
          <cell r="P15">
            <v>0.14026</v>
          </cell>
          <cell r="Q15">
            <v>7.0129999999999998E-2</v>
          </cell>
          <cell r="R15">
            <v>7.0129999999999998E-2</v>
          </cell>
        </row>
        <row r="16">
          <cell r="A16">
            <v>32509</v>
          </cell>
          <cell r="B16">
            <v>32689</v>
          </cell>
          <cell r="C16" t="e">
            <v>#REF!</v>
          </cell>
          <cell r="D16" t="str">
            <v>No</v>
          </cell>
          <cell r="E16" t="str">
            <v>No</v>
          </cell>
          <cell r="L16">
            <v>32509</v>
          </cell>
          <cell r="M16">
            <v>32689</v>
          </cell>
          <cell r="N16">
            <v>0.14026</v>
          </cell>
          <cell r="O16">
            <v>0.14026</v>
          </cell>
          <cell r="P16">
            <v>0.14026</v>
          </cell>
          <cell r="Q16">
            <v>7.0129999999999998E-2</v>
          </cell>
          <cell r="R16">
            <v>7.0129999999999998E-2</v>
          </cell>
        </row>
        <row r="17">
          <cell r="A17">
            <v>32690</v>
          </cell>
          <cell r="B17">
            <v>32873</v>
          </cell>
          <cell r="C17" t="e">
            <v>#REF!</v>
          </cell>
          <cell r="D17" t="str">
            <v>No</v>
          </cell>
          <cell r="E17" t="str">
            <v>No</v>
          </cell>
          <cell r="L17">
            <v>32690</v>
          </cell>
          <cell r="M17">
            <v>32873</v>
          </cell>
          <cell r="N17">
            <v>0.14026</v>
          </cell>
          <cell r="O17">
            <v>0.14026</v>
          </cell>
          <cell r="P17">
            <v>0.14026</v>
          </cell>
          <cell r="Q17">
            <v>7.0129999999999998E-2</v>
          </cell>
          <cell r="R17">
            <v>7.0129999999999998E-2</v>
          </cell>
        </row>
        <row r="18">
          <cell r="A18">
            <v>32874</v>
          </cell>
          <cell r="B18">
            <v>33054</v>
          </cell>
          <cell r="C18" t="e">
            <v>#REF!</v>
          </cell>
          <cell r="D18" t="str">
            <v>No</v>
          </cell>
          <cell r="E18" t="str">
            <v>No</v>
          </cell>
          <cell r="L18">
            <v>32874</v>
          </cell>
          <cell r="M18">
            <v>33054</v>
          </cell>
          <cell r="N18">
            <v>0.14026</v>
          </cell>
          <cell r="O18">
            <v>0.14026</v>
          </cell>
          <cell r="P18">
            <v>0.14026</v>
          </cell>
          <cell r="Q18">
            <v>7.0129999999999998E-2</v>
          </cell>
          <cell r="R18">
            <v>7.0129999999999998E-2</v>
          </cell>
        </row>
        <row r="19">
          <cell r="A19">
            <v>33055</v>
          </cell>
          <cell r="B19">
            <v>33238</v>
          </cell>
          <cell r="C19" t="e">
            <v>#REF!</v>
          </cell>
          <cell r="D19" t="str">
            <v>No</v>
          </cell>
          <cell r="E19" t="str">
            <v>No</v>
          </cell>
          <cell r="L19">
            <v>33055</v>
          </cell>
          <cell r="M19">
            <v>33238</v>
          </cell>
          <cell r="N19">
            <v>0.14026</v>
          </cell>
          <cell r="O19">
            <v>0.14026</v>
          </cell>
          <cell r="P19">
            <v>0.14026</v>
          </cell>
          <cell r="Q19">
            <v>7.0129999999999998E-2</v>
          </cell>
          <cell r="R19">
            <v>7.0129999999999998E-2</v>
          </cell>
        </row>
        <row r="20">
          <cell r="A20">
            <v>33239</v>
          </cell>
          <cell r="B20">
            <v>33419</v>
          </cell>
          <cell r="C20" t="e">
            <v>#REF!</v>
          </cell>
          <cell r="D20" t="str">
            <v>No</v>
          </cell>
          <cell r="E20" t="str">
            <v>No</v>
          </cell>
          <cell r="L20">
            <v>33239</v>
          </cell>
          <cell r="M20">
            <v>33419</v>
          </cell>
          <cell r="N20">
            <v>0.14026</v>
          </cell>
          <cell r="O20">
            <v>0.14026</v>
          </cell>
          <cell r="P20">
            <v>0.14026</v>
          </cell>
          <cell r="Q20">
            <v>7.0129999999999998E-2</v>
          </cell>
          <cell r="R20">
            <v>7.0129999999999998E-2</v>
          </cell>
        </row>
        <row r="21">
          <cell r="A21">
            <v>33420</v>
          </cell>
          <cell r="B21">
            <v>33603</v>
          </cell>
          <cell r="C21" t="e">
            <v>#REF!</v>
          </cell>
          <cell r="D21" t="str">
            <v>No</v>
          </cell>
          <cell r="E21" t="str">
            <v>No</v>
          </cell>
          <cell r="L21">
            <v>33420</v>
          </cell>
          <cell r="M21">
            <v>33603</v>
          </cell>
          <cell r="N21">
            <v>0.14026</v>
          </cell>
          <cell r="O21">
            <v>0.14026</v>
          </cell>
          <cell r="P21">
            <v>0.14026</v>
          </cell>
          <cell r="Q21">
            <v>7.0129999999999998E-2</v>
          </cell>
          <cell r="R21">
            <v>7.0129999999999998E-2</v>
          </cell>
        </row>
        <row r="22">
          <cell r="A22">
            <v>33604</v>
          </cell>
          <cell r="B22">
            <v>33785</v>
          </cell>
          <cell r="C22" t="e">
            <v>#REF!</v>
          </cell>
          <cell r="D22" t="str">
            <v>No</v>
          </cell>
          <cell r="E22" t="str">
            <v>Yes</v>
          </cell>
          <cell r="L22">
            <v>33604</v>
          </cell>
          <cell r="M22">
            <v>33785</v>
          </cell>
          <cell r="N22">
            <v>0.14026</v>
          </cell>
          <cell r="O22">
            <v>0.14026</v>
          </cell>
          <cell r="P22">
            <v>0.14026</v>
          </cell>
          <cell r="Q22">
            <v>7.0129999999999998E-2</v>
          </cell>
          <cell r="R22">
            <v>7.0129999999999998E-2</v>
          </cell>
        </row>
        <row r="23">
          <cell r="A23">
            <v>33786</v>
          </cell>
          <cell r="B23">
            <v>33969</v>
          </cell>
          <cell r="C23" t="e">
            <v>#REF!</v>
          </cell>
          <cell r="D23" t="str">
            <v>No</v>
          </cell>
          <cell r="E23" t="str">
            <v>Yes</v>
          </cell>
          <cell r="L23">
            <v>33786</v>
          </cell>
          <cell r="M23">
            <v>33969</v>
          </cell>
          <cell r="N23">
            <v>0.106</v>
          </cell>
          <cell r="O23">
            <v>0.106</v>
          </cell>
          <cell r="P23">
            <v>0.106</v>
          </cell>
          <cell r="Q23">
            <v>5.2999999999999999E-2</v>
          </cell>
          <cell r="R23">
            <v>5.2999999999999999E-2</v>
          </cell>
        </row>
        <row r="24">
          <cell r="A24">
            <v>33970</v>
          </cell>
          <cell r="B24">
            <v>34150</v>
          </cell>
          <cell r="C24" t="e">
            <v>#REF!</v>
          </cell>
          <cell r="D24" t="str">
            <v>No</v>
          </cell>
          <cell r="E24" t="str">
            <v>No</v>
          </cell>
          <cell r="L24">
            <v>33970</v>
          </cell>
          <cell r="M24">
            <v>34150</v>
          </cell>
          <cell r="N24">
            <v>9.6000000000000002E-2</v>
          </cell>
          <cell r="O24">
            <v>9.6000000000000002E-2</v>
          </cell>
          <cell r="P24">
            <v>9.6000000000000002E-2</v>
          </cell>
          <cell r="Q24">
            <v>4.8000000000000001E-2</v>
          </cell>
          <cell r="R24">
            <v>4.8000000000000001E-2</v>
          </cell>
        </row>
        <row r="25">
          <cell r="A25">
            <v>34151</v>
          </cell>
          <cell r="B25">
            <v>34334</v>
          </cell>
          <cell r="C25" t="e">
            <v>#REF!</v>
          </cell>
          <cell r="D25" t="str">
            <v>No</v>
          </cell>
          <cell r="E25" t="str">
            <v>No</v>
          </cell>
          <cell r="L25">
            <v>34151</v>
          </cell>
          <cell r="M25">
            <v>34334</v>
          </cell>
          <cell r="N25">
            <v>0.09</v>
          </cell>
          <cell r="O25">
            <v>0.09</v>
          </cell>
          <cell r="P25">
            <v>0.09</v>
          </cell>
          <cell r="Q25">
            <v>4.4999999999999998E-2</v>
          </cell>
          <cell r="R25">
            <v>4.4999999999999998E-2</v>
          </cell>
        </row>
        <row r="26">
          <cell r="A26">
            <v>34335</v>
          </cell>
          <cell r="B26">
            <v>34515</v>
          </cell>
          <cell r="C26" t="e">
            <v>#REF!</v>
          </cell>
          <cell r="D26" t="str">
            <v>No</v>
          </cell>
          <cell r="E26" t="str">
            <v>No</v>
          </cell>
          <cell r="L26">
            <v>34335</v>
          </cell>
          <cell r="M26">
            <v>34515</v>
          </cell>
          <cell r="N26">
            <v>8.6999999999999994E-2</v>
          </cell>
          <cell r="O26">
            <v>8.6999999999999994E-2</v>
          </cell>
          <cell r="P26">
            <v>8.6999999999999994E-2</v>
          </cell>
          <cell r="Q26">
            <v>4.3499999999999997E-2</v>
          </cell>
          <cell r="R26">
            <v>4.3499999999999997E-2</v>
          </cell>
        </row>
        <row r="27">
          <cell r="A27">
            <v>34516</v>
          </cell>
          <cell r="B27">
            <v>34699</v>
          </cell>
          <cell r="C27" t="e">
            <v>#REF!</v>
          </cell>
          <cell r="D27" t="str">
            <v>No</v>
          </cell>
          <cell r="E27" t="str">
            <v>No</v>
          </cell>
          <cell r="L27">
            <v>34516</v>
          </cell>
          <cell r="M27">
            <v>34699</v>
          </cell>
          <cell r="N27">
            <v>8.6999999999999994E-2</v>
          </cell>
          <cell r="O27">
            <v>8.6999999999999994E-2</v>
          </cell>
          <cell r="P27">
            <v>8.6999999999999994E-2</v>
          </cell>
          <cell r="Q27">
            <v>4.3499999999999997E-2</v>
          </cell>
          <cell r="R27">
            <v>4.3499999999999997E-2</v>
          </cell>
        </row>
        <row r="28">
          <cell r="A28">
            <v>34700</v>
          </cell>
          <cell r="B28">
            <v>34880</v>
          </cell>
          <cell r="C28" t="e">
            <v>#REF!</v>
          </cell>
          <cell r="D28" t="str">
            <v>No</v>
          </cell>
          <cell r="E28" t="str">
            <v>No</v>
          </cell>
          <cell r="L28">
            <v>34700</v>
          </cell>
          <cell r="M28">
            <v>34880</v>
          </cell>
          <cell r="N28">
            <v>0.108</v>
          </cell>
          <cell r="O28">
            <v>0.108</v>
          </cell>
          <cell r="P28">
            <v>0.108</v>
          </cell>
          <cell r="Q28">
            <v>5.3999999999999999E-2</v>
          </cell>
          <cell r="R28">
            <v>5.3999999999999999E-2</v>
          </cell>
        </row>
        <row r="29">
          <cell r="A29">
            <v>34881</v>
          </cell>
          <cell r="B29">
            <v>35064</v>
          </cell>
          <cell r="C29" t="e">
            <v>#REF!</v>
          </cell>
          <cell r="D29" t="str">
            <v>No</v>
          </cell>
          <cell r="E29" t="str">
            <v>No</v>
          </cell>
          <cell r="L29">
            <v>34881</v>
          </cell>
          <cell r="M29">
            <v>35064</v>
          </cell>
          <cell r="N29">
            <v>0.12</v>
          </cell>
          <cell r="O29">
            <v>0.12</v>
          </cell>
          <cell r="P29">
            <v>0.12</v>
          </cell>
          <cell r="Q29">
            <v>0.06</v>
          </cell>
          <cell r="R29">
            <v>0.06</v>
          </cell>
        </row>
        <row r="30">
          <cell r="A30">
            <v>35065</v>
          </cell>
          <cell r="B30">
            <v>35246</v>
          </cell>
          <cell r="C30" t="e">
            <v>#REF!</v>
          </cell>
          <cell r="D30" t="str">
            <v>No</v>
          </cell>
          <cell r="E30" t="str">
            <v>Yes</v>
          </cell>
          <cell r="L30">
            <v>35065</v>
          </cell>
          <cell r="M30">
            <v>35246</v>
          </cell>
          <cell r="N30">
            <v>0.115</v>
          </cell>
          <cell r="O30">
            <v>0.115</v>
          </cell>
          <cell r="P30">
            <v>0.115</v>
          </cell>
          <cell r="Q30">
            <v>5.7500000000000002E-2</v>
          </cell>
          <cell r="R30">
            <v>5.7500000000000002E-2</v>
          </cell>
        </row>
        <row r="31">
          <cell r="A31">
            <v>35247</v>
          </cell>
          <cell r="B31">
            <v>35430</v>
          </cell>
          <cell r="C31" t="e">
            <v>#REF!</v>
          </cell>
          <cell r="D31" t="str">
            <v>No</v>
          </cell>
          <cell r="E31" t="str">
            <v>Yes</v>
          </cell>
          <cell r="L31">
            <v>35247</v>
          </cell>
          <cell r="M31">
            <v>35430</v>
          </cell>
          <cell r="N31">
            <v>0.115</v>
          </cell>
          <cell r="O31">
            <v>0.115</v>
          </cell>
          <cell r="P31">
            <v>0.115</v>
          </cell>
          <cell r="Q31">
            <v>5.7500000000000002E-2</v>
          </cell>
          <cell r="R31">
            <v>5.7500000000000002E-2</v>
          </cell>
        </row>
        <row r="32">
          <cell r="A32">
            <v>35431</v>
          </cell>
          <cell r="B32">
            <v>35611</v>
          </cell>
          <cell r="C32" t="e">
            <v>#REF!</v>
          </cell>
          <cell r="D32" t="str">
            <v>No</v>
          </cell>
          <cell r="E32" t="str">
            <v>No</v>
          </cell>
          <cell r="L32">
            <v>35431</v>
          </cell>
          <cell r="M32">
            <v>35611</v>
          </cell>
          <cell r="N32">
            <v>0.105</v>
          </cell>
          <cell r="O32">
            <v>0.105</v>
          </cell>
          <cell r="P32">
            <v>0.105</v>
          </cell>
          <cell r="Q32">
            <v>5.2499999999999998E-2</v>
          </cell>
          <cell r="R32">
            <v>5.2499999999999998E-2</v>
          </cell>
        </row>
        <row r="33">
          <cell r="A33">
            <v>35612</v>
          </cell>
          <cell r="B33">
            <v>35795</v>
          </cell>
          <cell r="C33" t="e">
            <v>#REF!</v>
          </cell>
          <cell r="D33" t="str">
            <v>No</v>
          </cell>
          <cell r="E33" t="str">
            <v>No</v>
          </cell>
          <cell r="L33">
            <v>35612</v>
          </cell>
          <cell r="M33">
            <v>35795</v>
          </cell>
          <cell r="N33">
            <v>9.8000000000000004E-2</v>
          </cell>
          <cell r="O33">
            <v>9.8000000000000004E-2</v>
          </cell>
          <cell r="P33">
            <v>9.8000000000000004E-2</v>
          </cell>
          <cell r="Q33">
            <v>4.9000000000000002E-2</v>
          </cell>
          <cell r="R33">
            <v>4.9000000000000002E-2</v>
          </cell>
        </row>
        <row r="34">
          <cell r="A34">
            <v>35796</v>
          </cell>
          <cell r="B34">
            <v>35976</v>
          </cell>
          <cell r="C34" t="e">
            <v>#REF!</v>
          </cell>
          <cell r="D34" t="str">
            <v>No</v>
          </cell>
          <cell r="E34" t="str">
            <v>No</v>
          </cell>
          <cell r="L34">
            <v>35796</v>
          </cell>
          <cell r="M34">
            <v>35976</v>
          </cell>
          <cell r="N34">
            <v>8.7999999999999995E-2</v>
          </cell>
          <cell r="O34">
            <v>8.7999999999999995E-2</v>
          </cell>
          <cell r="P34">
            <v>8.7999999999999995E-2</v>
          </cell>
          <cell r="Q34">
            <v>4.3999999999999997E-2</v>
          </cell>
          <cell r="R34">
            <v>4.3999999999999997E-2</v>
          </cell>
        </row>
        <row r="35">
          <cell r="A35">
            <v>35977</v>
          </cell>
          <cell r="B35">
            <v>36160</v>
          </cell>
          <cell r="C35" t="e">
            <v>#REF!</v>
          </cell>
          <cell r="D35" t="str">
            <v>No</v>
          </cell>
          <cell r="E35" t="str">
            <v>No</v>
          </cell>
          <cell r="L35">
            <v>35977</v>
          </cell>
          <cell r="M35">
            <v>36160</v>
          </cell>
          <cell r="N35">
            <v>8.7999999999999995E-2</v>
          </cell>
          <cell r="O35">
            <v>8.7999999999999995E-2</v>
          </cell>
          <cell r="P35">
            <v>8.7999999999999995E-2</v>
          </cell>
          <cell r="Q35">
            <v>4.3999999999999997E-2</v>
          </cell>
          <cell r="R35">
            <v>4.3999999999999997E-2</v>
          </cell>
        </row>
        <row r="36">
          <cell r="A36">
            <v>36161</v>
          </cell>
          <cell r="B36">
            <v>36341</v>
          </cell>
          <cell r="C36" t="e">
            <v>#REF!</v>
          </cell>
          <cell r="D36" t="str">
            <v>No</v>
          </cell>
          <cell r="E36" t="str">
            <v>No</v>
          </cell>
          <cell r="L36">
            <v>36161</v>
          </cell>
          <cell r="M36">
            <v>36341</v>
          </cell>
          <cell r="N36">
            <v>8.7999999999999995E-2</v>
          </cell>
          <cell r="O36">
            <v>8.7999999999999995E-2</v>
          </cell>
          <cell r="P36">
            <v>8.7999999999999995E-2</v>
          </cell>
          <cell r="Q36">
            <v>4.3999999999999997E-2</v>
          </cell>
          <cell r="R36">
            <v>4.3999999999999997E-2</v>
          </cell>
        </row>
        <row r="37">
          <cell r="A37">
            <v>36342</v>
          </cell>
          <cell r="B37">
            <v>36433</v>
          </cell>
          <cell r="C37" t="e">
            <v>#REF!</v>
          </cell>
          <cell r="D37" t="str">
            <v>Yes</v>
          </cell>
          <cell r="E37" t="str">
            <v>No</v>
          </cell>
          <cell r="L37">
            <v>36342</v>
          </cell>
          <cell r="M37">
            <v>36433</v>
          </cell>
          <cell r="N37">
            <v>0.12720000000000001</v>
          </cell>
          <cell r="O37">
            <v>0.12720000000000001</v>
          </cell>
          <cell r="P37">
            <v>5.7200000000000001E-2</v>
          </cell>
          <cell r="Q37">
            <v>6.3600000000000004E-2</v>
          </cell>
          <cell r="R37">
            <v>6.3600000000000004E-2</v>
          </cell>
        </row>
        <row r="38">
          <cell r="A38">
            <v>36434</v>
          </cell>
          <cell r="B38">
            <v>36525</v>
          </cell>
          <cell r="C38" t="e">
            <v>#REF!</v>
          </cell>
          <cell r="D38" t="str">
            <v>Yes</v>
          </cell>
          <cell r="E38" t="str">
            <v>No</v>
          </cell>
          <cell r="L38">
            <v>36434</v>
          </cell>
          <cell r="M38">
            <v>36525</v>
          </cell>
          <cell r="N38">
            <v>0.1273</v>
          </cell>
          <cell r="O38">
            <v>0.1273</v>
          </cell>
          <cell r="P38">
            <v>5.729999999999999E-2</v>
          </cell>
          <cell r="Q38">
            <v>6.3649999999999998E-2</v>
          </cell>
          <cell r="R38">
            <v>6.3649999999999998E-2</v>
          </cell>
        </row>
        <row r="39">
          <cell r="A39">
            <v>36526</v>
          </cell>
          <cell r="B39">
            <v>36616</v>
          </cell>
          <cell r="C39" t="e">
            <v>#REF!</v>
          </cell>
          <cell r="D39" t="str">
            <v>Yes</v>
          </cell>
          <cell r="E39" t="str">
            <v>Yes</v>
          </cell>
          <cell r="L39">
            <v>36526</v>
          </cell>
          <cell r="M39">
            <v>36616</v>
          </cell>
          <cell r="N39">
            <v>0.1308</v>
          </cell>
          <cell r="O39">
            <v>0.1308</v>
          </cell>
          <cell r="P39">
            <v>6.0799999999999993E-2</v>
          </cell>
          <cell r="Q39">
            <v>6.54E-2</v>
          </cell>
          <cell r="R39">
            <v>6.54E-2</v>
          </cell>
        </row>
        <row r="40">
          <cell r="A40">
            <v>36617</v>
          </cell>
          <cell r="B40">
            <v>36707</v>
          </cell>
          <cell r="C40" t="e">
            <v>#REF!</v>
          </cell>
          <cell r="D40" t="str">
            <v>Yes</v>
          </cell>
          <cell r="E40" t="str">
            <v>Yes</v>
          </cell>
          <cell r="L40">
            <v>36617</v>
          </cell>
          <cell r="M40">
            <v>36707</v>
          </cell>
          <cell r="N40">
            <v>0.13650000000000001</v>
          </cell>
          <cell r="O40">
            <v>0.13650000000000001</v>
          </cell>
          <cell r="P40">
            <v>6.6500000000000004E-2</v>
          </cell>
          <cell r="Q40">
            <v>6.8250000000000005E-2</v>
          </cell>
          <cell r="R40">
            <v>6.8250000000000005E-2</v>
          </cell>
        </row>
        <row r="41">
          <cell r="A41">
            <v>36708</v>
          </cell>
          <cell r="B41">
            <v>36799</v>
          </cell>
          <cell r="C41" t="e">
            <v>#REF!</v>
          </cell>
          <cell r="D41" t="str">
            <v>Yes</v>
          </cell>
          <cell r="E41" t="str">
            <v>Yes</v>
          </cell>
          <cell r="L41">
            <v>36708</v>
          </cell>
          <cell r="M41">
            <v>36799</v>
          </cell>
          <cell r="N41">
            <v>0.14000000000000001</v>
          </cell>
          <cell r="O41">
            <v>0.14000000000000001</v>
          </cell>
          <cell r="P41">
            <v>7.0000000000000007E-2</v>
          </cell>
          <cell r="Q41">
            <v>7.0000000000000007E-2</v>
          </cell>
          <cell r="R41">
            <v>7.0000000000000007E-2</v>
          </cell>
        </row>
        <row r="42">
          <cell r="A42">
            <v>36800</v>
          </cell>
          <cell r="B42">
            <v>36891</v>
          </cell>
          <cell r="C42" t="e">
            <v>#REF!</v>
          </cell>
          <cell r="D42" t="str">
            <v>Yes</v>
          </cell>
          <cell r="E42" t="str">
            <v>Yes</v>
          </cell>
          <cell r="L42">
            <v>36800</v>
          </cell>
          <cell r="M42">
            <v>36891</v>
          </cell>
          <cell r="N42">
            <v>0.1386</v>
          </cell>
          <cell r="O42">
            <v>0.1386</v>
          </cell>
          <cell r="P42">
            <v>6.8599999999999994E-2</v>
          </cell>
          <cell r="Q42">
            <v>6.93E-2</v>
          </cell>
          <cell r="R42">
            <v>6.93E-2</v>
          </cell>
        </row>
        <row r="43">
          <cell r="A43">
            <v>36892</v>
          </cell>
          <cell r="B43">
            <v>36981</v>
          </cell>
          <cell r="C43" t="e">
            <v>#REF!</v>
          </cell>
          <cell r="D43" t="str">
            <v>Yes</v>
          </cell>
          <cell r="E43" t="str">
            <v>No</v>
          </cell>
          <cell r="L43">
            <v>36892</v>
          </cell>
          <cell r="M43">
            <v>36981</v>
          </cell>
          <cell r="N43">
            <v>0.1386</v>
          </cell>
          <cell r="O43">
            <v>0.1386</v>
          </cell>
          <cell r="P43">
            <v>6.8599999999999994E-2</v>
          </cell>
          <cell r="Q43">
            <v>6.93E-2</v>
          </cell>
          <cell r="R43">
            <v>6.93E-2</v>
          </cell>
        </row>
        <row r="44">
          <cell r="A44">
            <v>36982</v>
          </cell>
          <cell r="B44">
            <v>37072</v>
          </cell>
          <cell r="C44" t="e">
            <v>#REF!</v>
          </cell>
          <cell r="D44" t="str">
            <v>Yes</v>
          </cell>
          <cell r="E44" t="str">
            <v>No</v>
          </cell>
          <cell r="L44">
            <v>36982</v>
          </cell>
          <cell r="M44">
            <v>37072</v>
          </cell>
          <cell r="N44">
            <v>0.1386</v>
          </cell>
          <cell r="O44">
            <v>0.1386</v>
          </cell>
          <cell r="P44">
            <v>6.8599999999999994E-2</v>
          </cell>
          <cell r="Q44">
            <v>6.93E-2</v>
          </cell>
          <cell r="R44">
            <v>6.93E-2</v>
          </cell>
        </row>
        <row r="45">
          <cell r="A45">
            <v>37073</v>
          </cell>
          <cell r="B45">
            <v>37164</v>
          </cell>
          <cell r="C45" t="e">
            <v>#REF!</v>
          </cell>
          <cell r="D45" t="str">
            <v>Yes</v>
          </cell>
          <cell r="E45" t="str">
            <v>No</v>
          </cell>
          <cell r="L45">
            <v>37073</v>
          </cell>
          <cell r="M45">
            <v>37164</v>
          </cell>
          <cell r="N45">
            <v>0.11890000000000001</v>
          </cell>
          <cell r="O45">
            <v>0.11890000000000001</v>
          </cell>
          <cell r="P45">
            <v>4.8899999999999999E-2</v>
          </cell>
          <cell r="Q45">
            <v>5.9450000000000003E-2</v>
          </cell>
          <cell r="R45">
            <v>5.9450000000000003E-2</v>
          </cell>
        </row>
        <row r="46">
          <cell r="A46">
            <v>37165</v>
          </cell>
          <cell r="B46">
            <v>37256</v>
          </cell>
          <cell r="C46" t="e">
            <v>#REF!</v>
          </cell>
          <cell r="D46" t="str">
            <v>Yes</v>
          </cell>
          <cell r="E46" t="str">
            <v>No</v>
          </cell>
          <cell r="L46">
            <v>37165</v>
          </cell>
          <cell r="M46">
            <v>37256</v>
          </cell>
          <cell r="N46">
            <v>0.1195</v>
          </cell>
          <cell r="O46">
            <v>0.1195</v>
          </cell>
          <cell r="P46">
            <v>4.9499999999999988E-2</v>
          </cell>
          <cell r="Q46">
            <v>5.9749999999999998E-2</v>
          </cell>
          <cell r="R46">
            <v>5.9749999999999998E-2</v>
          </cell>
        </row>
        <row r="47">
          <cell r="A47">
            <v>37257</v>
          </cell>
          <cell r="B47">
            <v>37346</v>
          </cell>
          <cell r="C47" t="e">
            <v>#REF!</v>
          </cell>
          <cell r="D47" t="str">
            <v>Yes</v>
          </cell>
          <cell r="E47" t="str">
            <v>No</v>
          </cell>
          <cell r="L47">
            <v>37257</v>
          </cell>
          <cell r="M47">
            <v>37346</v>
          </cell>
          <cell r="N47">
            <v>0.1128</v>
          </cell>
          <cell r="O47">
            <v>0.1128</v>
          </cell>
          <cell r="P47">
            <v>4.2799999999999991E-2</v>
          </cell>
          <cell r="Q47">
            <v>5.6399999999999999E-2</v>
          </cell>
          <cell r="R47">
            <v>5.6399999999999999E-2</v>
          </cell>
        </row>
        <row r="48">
          <cell r="A48">
            <v>37347</v>
          </cell>
          <cell r="B48">
            <v>37437</v>
          </cell>
          <cell r="C48" t="e">
            <v>#REF!</v>
          </cell>
          <cell r="D48" t="str">
            <v>Yes</v>
          </cell>
          <cell r="E48" t="str">
            <v>No</v>
          </cell>
          <cell r="L48">
            <v>37347</v>
          </cell>
          <cell r="M48">
            <v>37437</v>
          </cell>
          <cell r="N48">
            <v>0.11310000000000001</v>
          </cell>
          <cell r="O48">
            <v>0.11310000000000001</v>
          </cell>
          <cell r="P48">
            <v>4.3099999999999999E-2</v>
          </cell>
          <cell r="Q48">
            <v>5.6550000000000003E-2</v>
          </cell>
          <cell r="R48">
            <v>5.6550000000000003E-2</v>
          </cell>
        </row>
        <row r="49">
          <cell r="A49">
            <v>37438</v>
          </cell>
          <cell r="B49">
            <v>37529</v>
          </cell>
          <cell r="C49" t="e">
            <v>#REF!</v>
          </cell>
          <cell r="D49" t="str">
            <v>Yes</v>
          </cell>
          <cell r="E49" t="str">
            <v>No</v>
          </cell>
          <cell r="L49">
            <v>37438</v>
          </cell>
          <cell r="M49">
            <v>37529</v>
          </cell>
          <cell r="N49">
            <v>0.11840000000000001</v>
          </cell>
          <cell r="O49">
            <v>0.11840000000000001</v>
          </cell>
          <cell r="P49">
            <v>4.8399999999999999E-2</v>
          </cell>
          <cell r="Q49">
            <v>5.9200000000000003E-2</v>
          </cell>
          <cell r="R49">
            <v>5.9200000000000003E-2</v>
          </cell>
        </row>
        <row r="50">
          <cell r="A50">
            <v>37530</v>
          </cell>
          <cell r="B50">
            <v>37621</v>
          </cell>
          <cell r="C50" t="e">
            <v>#REF!</v>
          </cell>
          <cell r="D50" t="str">
            <v>Yes</v>
          </cell>
          <cell r="E50" t="str">
            <v>No</v>
          </cell>
          <cell r="L50">
            <v>37530</v>
          </cell>
          <cell r="M50">
            <v>37621</v>
          </cell>
          <cell r="N50">
            <v>0.11960000000000001</v>
          </cell>
          <cell r="O50">
            <v>0.11960000000000001</v>
          </cell>
          <cell r="P50">
            <v>4.9600000000000005E-2</v>
          </cell>
          <cell r="Q50">
            <v>5.9800000000000006E-2</v>
          </cell>
          <cell r="R50">
            <v>5.9800000000000006E-2</v>
          </cell>
        </row>
        <row r="51">
          <cell r="A51">
            <v>37622</v>
          </cell>
          <cell r="B51">
            <v>37711</v>
          </cell>
          <cell r="C51" t="e">
            <v>#REF!</v>
          </cell>
          <cell r="D51" t="str">
            <v>Yes</v>
          </cell>
          <cell r="E51" t="str">
            <v>No</v>
          </cell>
          <cell r="L51">
            <v>37622</v>
          </cell>
          <cell r="M51">
            <v>37711</v>
          </cell>
          <cell r="N51">
            <v>0.11840000000000001</v>
          </cell>
          <cell r="O51">
            <v>0.11840000000000001</v>
          </cell>
          <cell r="P51">
            <v>4.8399999999999999E-2</v>
          </cell>
          <cell r="Q51">
            <v>5.9200000000000003E-2</v>
          </cell>
          <cell r="R51">
            <v>5.9200000000000003E-2</v>
          </cell>
        </row>
        <row r="52">
          <cell r="A52">
            <v>37712</v>
          </cell>
          <cell r="B52">
            <v>37802</v>
          </cell>
          <cell r="C52" t="e">
            <v>#REF!</v>
          </cell>
          <cell r="D52" t="str">
            <v>Yes</v>
          </cell>
          <cell r="E52" t="str">
            <v>No</v>
          </cell>
          <cell r="L52">
            <v>37712</v>
          </cell>
          <cell r="M52">
            <v>37802</v>
          </cell>
          <cell r="N52">
            <v>0.11749999999999999</v>
          </cell>
          <cell r="O52">
            <v>0.11749999999999999</v>
          </cell>
          <cell r="P52">
            <v>4.7499999999999987E-2</v>
          </cell>
          <cell r="Q52">
            <v>5.8749999999999997E-2</v>
          </cell>
          <cell r="R52">
            <v>5.8749999999999997E-2</v>
          </cell>
        </row>
        <row r="53">
          <cell r="A53">
            <v>37803</v>
          </cell>
          <cell r="B53">
            <v>37894</v>
          </cell>
          <cell r="C53" t="e">
            <v>#REF!</v>
          </cell>
          <cell r="D53" t="str">
            <v>Yes</v>
          </cell>
          <cell r="E53" t="str">
            <v>No</v>
          </cell>
          <cell r="L53">
            <v>37803</v>
          </cell>
          <cell r="M53">
            <v>37894</v>
          </cell>
          <cell r="N53">
            <v>0.1178</v>
          </cell>
          <cell r="O53">
            <v>0.1178</v>
          </cell>
          <cell r="P53">
            <v>4.7799999999999995E-2</v>
          </cell>
          <cell r="Q53">
            <v>5.8900000000000001E-2</v>
          </cell>
          <cell r="R53">
            <v>5.8900000000000001E-2</v>
          </cell>
        </row>
        <row r="54">
          <cell r="A54">
            <v>37895</v>
          </cell>
          <cell r="B54">
            <v>37986</v>
          </cell>
          <cell r="C54" t="e">
            <v>#REF!</v>
          </cell>
          <cell r="D54" t="str">
            <v>Yes</v>
          </cell>
          <cell r="E54" t="str">
            <v>No</v>
          </cell>
          <cell r="L54">
            <v>37895</v>
          </cell>
          <cell r="M54">
            <v>37986</v>
          </cell>
          <cell r="N54">
            <v>0.1182</v>
          </cell>
          <cell r="O54">
            <v>0.1182</v>
          </cell>
          <cell r="P54">
            <v>4.8199999999999993E-2</v>
          </cell>
          <cell r="Q54">
            <v>5.91E-2</v>
          </cell>
          <cell r="R54">
            <v>5.91E-2</v>
          </cell>
        </row>
        <row r="55">
          <cell r="A55">
            <v>37987</v>
          </cell>
          <cell r="B55">
            <v>38077</v>
          </cell>
          <cell r="C55" t="e">
            <v>#REF!</v>
          </cell>
          <cell r="D55" t="str">
            <v>Yes</v>
          </cell>
          <cell r="E55" t="str">
            <v>Yes</v>
          </cell>
          <cell r="L55">
            <v>37987</v>
          </cell>
          <cell r="M55">
            <v>38077</v>
          </cell>
          <cell r="N55">
            <v>0.1231</v>
          </cell>
          <cell r="O55">
            <v>0.1231</v>
          </cell>
          <cell r="P55">
            <v>5.3099999999999994E-2</v>
          </cell>
          <cell r="Q55">
            <v>6.1550000000000001E-2</v>
          </cell>
          <cell r="R55">
            <v>6.1550000000000001E-2</v>
          </cell>
        </row>
        <row r="56">
          <cell r="A56">
            <v>38078</v>
          </cell>
          <cell r="B56">
            <v>38168</v>
          </cell>
          <cell r="C56" t="e">
            <v>#REF!</v>
          </cell>
          <cell r="D56" t="str">
            <v>Yes</v>
          </cell>
          <cell r="E56" t="str">
            <v>Yes</v>
          </cell>
          <cell r="L56">
            <v>38078</v>
          </cell>
          <cell r="M56">
            <v>38168</v>
          </cell>
          <cell r="N56">
            <v>0.12570000000000001</v>
          </cell>
          <cell r="O56">
            <v>0.12570000000000001</v>
          </cell>
          <cell r="P56">
            <v>5.57E-2</v>
          </cell>
          <cell r="Q56">
            <v>6.2850000000000003E-2</v>
          </cell>
          <cell r="R56">
            <v>6.2850000000000003E-2</v>
          </cell>
        </row>
        <row r="57">
          <cell r="A57">
            <v>38169</v>
          </cell>
          <cell r="B57">
            <v>38260</v>
          </cell>
          <cell r="C57" t="e">
            <v>#REF!</v>
          </cell>
          <cell r="D57" t="str">
            <v>Yes</v>
          </cell>
          <cell r="E57" t="str">
            <v>Yes</v>
          </cell>
          <cell r="L57">
            <v>38169</v>
          </cell>
          <cell r="M57">
            <v>38260</v>
          </cell>
          <cell r="N57">
            <v>0.12509999999999999</v>
          </cell>
          <cell r="O57">
            <v>0.12509999999999999</v>
          </cell>
          <cell r="P57">
            <v>5.5099999999999982E-2</v>
          </cell>
          <cell r="Q57">
            <v>6.2549999999999994E-2</v>
          </cell>
          <cell r="R57">
            <v>6.2549999999999994E-2</v>
          </cell>
        </row>
        <row r="58">
          <cell r="A58">
            <v>38261</v>
          </cell>
          <cell r="B58">
            <v>38352</v>
          </cell>
          <cell r="C58" t="e">
            <v>#REF!</v>
          </cell>
          <cell r="D58" t="str">
            <v>Yes</v>
          </cell>
          <cell r="E58" t="str">
            <v>Yes</v>
          </cell>
          <cell r="L58">
            <v>38261</v>
          </cell>
          <cell r="M58">
            <v>38352</v>
          </cell>
          <cell r="N58">
            <v>0.1244</v>
          </cell>
          <cell r="O58">
            <v>0.1244</v>
          </cell>
          <cell r="P58">
            <v>5.439999999999999E-2</v>
          </cell>
          <cell r="Q58">
            <v>6.2199999999999998E-2</v>
          </cell>
          <cell r="R58">
            <v>6.2199999999999998E-2</v>
          </cell>
        </row>
        <row r="59">
          <cell r="A59">
            <v>38353</v>
          </cell>
          <cell r="B59">
            <v>38442</v>
          </cell>
          <cell r="C59" t="e">
            <v>#REF!</v>
          </cell>
          <cell r="D59" t="str">
            <v>Yes</v>
          </cell>
          <cell r="E59" t="str">
            <v>No</v>
          </cell>
          <cell r="L59">
            <v>38353</v>
          </cell>
          <cell r="M59">
            <v>38442</v>
          </cell>
          <cell r="N59">
            <v>0.12429999999999999</v>
          </cell>
          <cell r="O59">
            <v>0.12429999999999999</v>
          </cell>
          <cell r="P59">
            <v>5.4299999999999987E-2</v>
          </cell>
          <cell r="Q59">
            <v>6.2149999999999997E-2</v>
          </cell>
          <cell r="R59">
            <v>6.2149999999999997E-2</v>
          </cell>
        </row>
        <row r="60">
          <cell r="A60">
            <v>38443</v>
          </cell>
          <cell r="B60">
            <v>38533</v>
          </cell>
          <cell r="C60" t="e">
            <v>#REF!</v>
          </cell>
          <cell r="D60" t="str">
            <v>Yes</v>
          </cell>
          <cell r="E60" t="str">
            <v>No</v>
          </cell>
          <cell r="L60">
            <v>38443</v>
          </cell>
          <cell r="M60">
            <v>38533</v>
          </cell>
          <cell r="N60">
            <v>0.1263</v>
          </cell>
          <cell r="O60">
            <v>8.6299999999999988E-2</v>
          </cell>
          <cell r="P60">
            <v>5.6299999999999989E-2</v>
          </cell>
          <cell r="Q60">
            <v>6.3149999999999998E-2</v>
          </cell>
          <cell r="R60">
            <v>4.3149999999999994E-2</v>
          </cell>
        </row>
        <row r="61">
          <cell r="A61">
            <v>38534</v>
          </cell>
          <cell r="B61">
            <v>38625</v>
          </cell>
          <cell r="C61" t="e">
            <v>#REF!</v>
          </cell>
          <cell r="D61" t="str">
            <v>Yes</v>
          </cell>
          <cell r="E61" t="str">
            <v>No</v>
          </cell>
          <cell r="L61">
            <v>38534</v>
          </cell>
          <cell r="M61">
            <v>38625</v>
          </cell>
          <cell r="N61">
            <v>0.1268</v>
          </cell>
          <cell r="O61">
            <v>8.6799999999999988E-2</v>
          </cell>
          <cell r="P61">
            <v>5.6799999999999989E-2</v>
          </cell>
          <cell r="Q61">
            <v>6.3399999999999998E-2</v>
          </cell>
          <cell r="R61">
            <v>4.3399999999999994E-2</v>
          </cell>
        </row>
        <row r="62">
          <cell r="A62">
            <v>38626</v>
          </cell>
          <cell r="B62">
            <v>38717</v>
          </cell>
          <cell r="C62" t="e">
            <v>#REF!</v>
          </cell>
          <cell r="D62" t="str">
            <v>Yes</v>
          </cell>
          <cell r="E62" t="str">
            <v>No</v>
          </cell>
          <cell r="L62">
            <v>38626</v>
          </cell>
          <cell r="M62">
            <v>38717</v>
          </cell>
          <cell r="N62">
            <v>0.12620000000000001</v>
          </cell>
          <cell r="O62">
            <v>8.6199999999999999E-2</v>
          </cell>
          <cell r="P62">
            <v>5.62E-2</v>
          </cell>
          <cell r="Q62">
            <v>6.3100000000000003E-2</v>
          </cell>
          <cell r="R62">
            <v>4.3099999999999999E-2</v>
          </cell>
        </row>
        <row r="63">
          <cell r="A63">
            <v>38718</v>
          </cell>
          <cell r="B63">
            <v>38807</v>
          </cell>
          <cell r="C63" t="e">
            <v>#REF!</v>
          </cell>
          <cell r="D63" t="str">
            <v>Yes</v>
          </cell>
          <cell r="E63" t="str">
            <v>No</v>
          </cell>
          <cell r="L63">
            <v>38718</v>
          </cell>
          <cell r="M63">
            <v>38807</v>
          </cell>
          <cell r="N63">
            <v>0.1263</v>
          </cell>
          <cell r="O63">
            <v>8.6299999999999988E-2</v>
          </cell>
          <cell r="P63">
            <v>5.6299999999999989E-2</v>
          </cell>
          <cell r="Q63">
            <v>6.3149999999999998E-2</v>
          </cell>
          <cell r="R63">
            <v>4.3149999999999994E-2</v>
          </cell>
        </row>
        <row r="64">
          <cell r="A64">
            <v>38808</v>
          </cell>
          <cell r="B64">
            <v>38898</v>
          </cell>
          <cell r="C64" t="e">
            <v>#REF!</v>
          </cell>
          <cell r="D64" t="str">
            <v>Yes</v>
          </cell>
          <cell r="E64" t="str">
            <v>No</v>
          </cell>
          <cell r="L64">
            <v>38808</v>
          </cell>
          <cell r="M64">
            <v>38898</v>
          </cell>
          <cell r="N64">
            <v>0.12609999999999999</v>
          </cell>
          <cell r="O64">
            <v>8.6099999999999982E-2</v>
          </cell>
          <cell r="P64">
            <v>5.6099999999999983E-2</v>
          </cell>
          <cell r="Q64">
            <v>6.3049999999999995E-2</v>
          </cell>
          <cell r="R64">
            <v>4.3049999999999991E-2</v>
          </cell>
        </row>
        <row r="65">
          <cell r="A65">
            <v>38899</v>
          </cell>
          <cell r="B65">
            <v>38990</v>
          </cell>
          <cell r="C65" t="e">
            <v>#REF!</v>
          </cell>
          <cell r="D65" t="str">
            <v>Yes</v>
          </cell>
          <cell r="E65" t="str">
            <v>No</v>
          </cell>
          <cell r="L65">
            <v>38899</v>
          </cell>
          <cell r="M65">
            <v>38990</v>
          </cell>
          <cell r="N65">
            <v>0.12870000000000001</v>
          </cell>
          <cell r="O65">
            <v>8.8700000000000001E-2</v>
          </cell>
          <cell r="P65">
            <v>5.8700000000000002E-2</v>
          </cell>
          <cell r="Q65">
            <v>6.4350000000000004E-2</v>
          </cell>
          <cell r="R65">
            <v>4.4350000000000001E-2</v>
          </cell>
        </row>
        <row r="66">
          <cell r="A66">
            <v>38991</v>
          </cell>
          <cell r="B66">
            <v>39082</v>
          </cell>
          <cell r="C66" t="e">
            <v>#REF!</v>
          </cell>
          <cell r="D66" t="str">
            <v>Yes</v>
          </cell>
          <cell r="E66" t="str">
            <v>No</v>
          </cell>
          <cell r="L66">
            <v>38991</v>
          </cell>
          <cell r="M66">
            <v>39082</v>
          </cell>
          <cell r="N66">
            <v>0.13189999999999999</v>
          </cell>
          <cell r="O66">
            <v>9.1899999999999982E-2</v>
          </cell>
          <cell r="P66">
            <v>6.1899999999999983E-2</v>
          </cell>
          <cell r="Q66">
            <v>6.5949999999999995E-2</v>
          </cell>
          <cell r="R66">
            <v>4.5949999999999991E-2</v>
          </cell>
        </row>
        <row r="67">
          <cell r="A67">
            <v>39083</v>
          </cell>
          <cell r="B67">
            <v>39172</v>
          </cell>
          <cell r="C67" t="e">
            <v>#REF!</v>
          </cell>
          <cell r="D67" t="str">
            <v>Yes</v>
          </cell>
          <cell r="E67" t="str">
            <v>No</v>
          </cell>
          <cell r="L67">
            <v>39083</v>
          </cell>
          <cell r="M67">
            <v>39172</v>
          </cell>
          <cell r="N67">
            <v>0.13370000000000001</v>
          </cell>
          <cell r="O67">
            <v>9.3700000000000006E-2</v>
          </cell>
          <cell r="P67">
            <v>6.3700000000000007E-2</v>
          </cell>
          <cell r="Q67">
            <v>6.6850000000000007E-2</v>
          </cell>
          <cell r="R67">
            <v>4.6850000000000003E-2</v>
          </cell>
        </row>
        <row r="68">
          <cell r="A68">
            <v>39173</v>
          </cell>
          <cell r="B68">
            <v>39263</v>
          </cell>
          <cell r="C68" t="e">
            <v>#REF!</v>
          </cell>
          <cell r="D68" t="str">
            <v>Yes</v>
          </cell>
          <cell r="E68" t="str">
            <v>No</v>
          </cell>
          <cell r="L68">
            <v>39173</v>
          </cell>
          <cell r="M68">
            <v>39263</v>
          </cell>
          <cell r="N68">
            <v>0.13370000000000001</v>
          </cell>
          <cell r="O68">
            <v>9.3700000000000006E-2</v>
          </cell>
          <cell r="P68">
            <v>6.3700000000000007E-2</v>
          </cell>
          <cell r="Q68">
            <v>6.6850000000000007E-2</v>
          </cell>
          <cell r="R68">
            <v>4.6850000000000003E-2</v>
          </cell>
        </row>
        <row r="69">
          <cell r="A69">
            <v>39264</v>
          </cell>
          <cell r="B69">
            <v>39355</v>
          </cell>
          <cell r="C69" t="e">
            <v>#REF!</v>
          </cell>
          <cell r="D69" t="str">
            <v>Yes</v>
          </cell>
          <cell r="E69" t="str">
            <v>No</v>
          </cell>
          <cell r="L69">
            <v>39264</v>
          </cell>
          <cell r="M69">
            <v>39355</v>
          </cell>
          <cell r="N69">
            <v>0.13370000000000001</v>
          </cell>
          <cell r="O69">
            <v>9.3700000000000006E-2</v>
          </cell>
          <cell r="P69">
            <v>6.3700000000000007E-2</v>
          </cell>
          <cell r="Q69">
            <v>6.6850000000000007E-2</v>
          </cell>
          <cell r="R69">
            <v>4.6850000000000003E-2</v>
          </cell>
        </row>
        <row r="70">
          <cell r="A70">
            <v>39356</v>
          </cell>
          <cell r="B70">
            <v>39447</v>
          </cell>
          <cell r="C70" t="e">
            <v>#REF!</v>
          </cell>
          <cell r="D70" t="str">
            <v>Yes</v>
          </cell>
          <cell r="E70" t="str">
            <v>No</v>
          </cell>
          <cell r="L70">
            <v>39356</v>
          </cell>
          <cell r="M70">
            <v>39447</v>
          </cell>
          <cell r="N70">
            <v>0.13750000000000001</v>
          </cell>
          <cell r="O70">
            <v>9.7500000000000003E-2</v>
          </cell>
          <cell r="P70">
            <v>6.7500000000000004E-2</v>
          </cell>
          <cell r="Q70">
            <v>6.8750000000000006E-2</v>
          </cell>
          <cell r="R70">
            <v>4.8750000000000002E-2</v>
          </cell>
        </row>
        <row r="71">
          <cell r="A71">
            <v>39448</v>
          </cell>
          <cell r="B71">
            <v>39538</v>
          </cell>
          <cell r="C71" t="e">
            <v>#REF!</v>
          </cell>
          <cell r="D71" t="str">
            <v>Yes</v>
          </cell>
          <cell r="E71" t="str">
            <v>Yes</v>
          </cell>
          <cell r="L71">
            <v>39448</v>
          </cell>
          <cell r="M71">
            <v>39538</v>
          </cell>
          <cell r="N71">
            <v>0.14150000000000001</v>
          </cell>
          <cell r="O71">
            <v>0.10150000000000001</v>
          </cell>
          <cell r="P71">
            <v>7.1500000000000008E-2</v>
          </cell>
          <cell r="Q71">
            <v>7.0750000000000007E-2</v>
          </cell>
          <cell r="R71">
            <v>5.0750000000000003E-2</v>
          </cell>
        </row>
        <row r="72">
          <cell r="A72">
            <v>39539</v>
          </cell>
          <cell r="B72">
            <v>39629</v>
          </cell>
          <cell r="C72" t="e">
            <v>#REF!</v>
          </cell>
          <cell r="D72" t="str">
            <v>Yes</v>
          </cell>
          <cell r="E72" t="str">
            <v>Yes</v>
          </cell>
          <cell r="L72">
            <v>39539</v>
          </cell>
          <cell r="M72">
            <v>39629</v>
          </cell>
          <cell r="N72">
            <v>0.1469</v>
          </cell>
          <cell r="O72">
            <v>0.1069</v>
          </cell>
          <cell r="P72">
            <v>7.6899999999999996E-2</v>
          </cell>
          <cell r="Q72">
            <v>7.3450000000000001E-2</v>
          </cell>
          <cell r="R72">
            <v>5.3449999999999998E-2</v>
          </cell>
        </row>
        <row r="73">
          <cell r="A73">
            <v>39630</v>
          </cell>
          <cell r="B73">
            <v>39721</v>
          </cell>
          <cell r="C73" t="e">
            <v>#REF!</v>
          </cell>
          <cell r="D73" t="str">
            <v>Yes</v>
          </cell>
          <cell r="E73" t="str">
            <v>Yes</v>
          </cell>
          <cell r="L73">
            <v>39630</v>
          </cell>
          <cell r="M73">
            <v>39721</v>
          </cell>
          <cell r="N73">
            <v>0.14749999999999999</v>
          </cell>
          <cell r="O73">
            <v>0.10749999999999998</v>
          </cell>
          <cell r="P73">
            <v>7.7499999999999986E-2</v>
          </cell>
          <cell r="Q73">
            <v>7.3749999999999996E-2</v>
          </cell>
          <cell r="R73">
            <v>5.3749999999999992E-2</v>
          </cell>
        </row>
        <row r="74">
          <cell r="A74">
            <v>39722</v>
          </cell>
          <cell r="B74">
            <v>39813</v>
          </cell>
          <cell r="C74" t="e">
            <v>#REF!</v>
          </cell>
          <cell r="D74" t="str">
            <v>Yes</v>
          </cell>
          <cell r="E74" t="str">
            <v>Yes</v>
          </cell>
          <cell r="L74">
            <v>39722</v>
          </cell>
          <cell r="M74">
            <v>39813</v>
          </cell>
          <cell r="N74">
            <v>0.1431</v>
          </cell>
          <cell r="O74">
            <v>0.1031</v>
          </cell>
          <cell r="P74">
            <v>7.3099999999999998E-2</v>
          </cell>
          <cell r="Q74">
            <v>7.1550000000000002E-2</v>
          </cell>
          <cell r="R74">
            <v>5.1549999999999999E-2</v>
          </cell>
        </row>
        <row r="75">
          <cell r="A75">
            <v>39814</v>
          </cell>
          <cell r="B75">
            <v>39903</v>
          </cell>
          <cell r="C75" t="e">
            <v>#REF!</v>
          </cell>
          <cell r="D75" t="str">
            <v>Yes</v>
          </cell>
          <cell r="E75" t="str">
            <v>No</v>
          </cell>
          <cell r="L75">
            <v>39814</v>
          </cell>
          <cell r="M75">
            <v>39903</v>
          </cell>
          <cell r="N75">
            <v>0.11760000000000001</v>
          </cell>
          <cell r="O75">
            <v>7.7600000000000002E-2</v>
          </cell>
          <cell r="P75">
            <v>4.7600000000000003E-2</v>
          </cell>
          <cell r="Q75">
            <v>5.8800000000000005E-2</v>
          </cell>
          <cell r="R75">
            <v>3.8800000000000001E-2</v>
          </cell>
        </row>
        <row r="76">
          <cell r="A76">
            <v>39904</v>
          </cell>
          <cell r="B76">
            <v>39994</v>
          </cell>
          <cell r="C76" t="e">
            <v>#REF!</v>
          </cell>
          <cell r="D76" t="str">
            <v>Yes</v>
          </cell>
          <cell r="E76" t="str">
            <v>No</v>
          </cell>
          <cell r="L76">
            <v>39904</v>
          </cell>
          <cell r="M76">
            <v>39994</v>
          </cell>
          <cell r="N76">
            <v>0.1016</v>
          </cell>
          <cell r="O76">
            <v>6.1599999999999995E-2</v>
          </cell>
          <cell r="P76">
            <v>3.1599999999999989E-2</v>
          </cell>
          <cell r="Q76">
            <v>5.0799999999999998E-2</v>
          </cell>
          <cell r="R76">
            <v>3.0799999999999998E-2</v>
          </cell>
        </row>
        <row r="77">
          <cell r="A77">
            <v>39995</v>
          </cell>
          <cell r="B77">
            <v>40086</v>
          </cell>
          <cell r="C77" t="e">
            <v>#REF!</v>
          </cell>
          <cell r="D77" t="str">
            <v>Yes</v>
          </cell>
          <cell r="E77" t="str">
            <v>No</v>
          </cell>
          <cell r="L77">
            <v>39995</v>
          </cell>
          <cell r="M77">
            <v>40086</v>
          </cell>
          <cell r="N77">
            <v>0.1013</v>
          </cell>
          <cell r="O77">
            <v>6.13E-2</v>
          </cell>
          <cell r="P77">
            <v>3.1299999999999994E-2</v>
          </cell>
          <cell r="Q77">
            <v>5.0650000000000001E-2</v>
          </cell>
          <cell r="R77">
            <v>3.065E-2</v>
          </cell>
        </row>
        <row r="78">
          <cell r="A78">
            <v>40087</v>
          </cell>
          <cell r="B78">
            <v>40178</v>
          </cell>
          <cell r="C78" t="e">
            <v>#REF!</v>
          </cell>
          <cell r="D78" t="str">
            <v>Yes</v>
          </cell>
          <cell r="E78" t="str">
            <v>No</v>
          </cell>
          <cell r="L78">
            <v>40087</v>
          </cell>
          <cell r="M78">
            <v>40178</v>
          </cell>
          <cell r="N78">
            <v>0.10300000000000001</v>
          </cell>
          <cell r="O78">
            <v>6.3E-2</v>
          </cell>
          <cell r="P78">
            <v>3.3000000000000002E-2</v>
          </cell>
          <cell r="Q78">
            <v>5.1500000000000004E-2</v>
          </cell>
          <cell r="R78">
            <v>3.15E-2</v>
          </cell>
        </row>
        <row r="79">
          <cell r="A79">
            <v>40179</v>
          </cell>
          <cell r="B79">
            <v>40268</v>
          </cell>
          <cell r="C79" t="e">
            <v>#REF!</v>
          </cell>
          <cell r="D79" t="str">
            <v>Yes</v>
          </cell>
          <cell r="E79" t="str">
            <v>No</v>
          </cell>
          <cell r="L79">
            <v>40179</v>
          </cell>
          <cell r="M79">
            <v>40268</v>
          </cell>
          <cell r="N79">
            <v>0.10950000000000001</v>
          </cell>
          <cell r="O79">
            <v>6.9500000000000006E-2</v>
          </cell>
          <cell r="P79">
            <v>3.9500000000000007E-2</v>
          </cell>
          <cell r="Q79">
            <v>5.4750000000000007E-2</v>
          </cell>
          <cell r="R79">
            <v>3.4750000000000003E-2</v>
          </cell>
        </row>
        <row r="80">
          <cell r="A80">
            <v>40269</v>
          </cell>
          <cell r="B80">
            <v>40359</v>
          </cell>
          <cell r="C80" t="e">
            <v>#REF!</v>
          </cell>
          <cell r="D80" t="str">
            <v>Yes</v>
          </cell>
          <cell r="E80" t="str">
            <v>No</v>
          </cell>
          <cell r="L80">
            <v>40269</v>
          </cell>
          <cell r="M80">
            <v>40359</v>
          </cell>
          <cell r="N80">
            <v>0.1116</v>
          </cell>
          <cell r="O80">
            <v>7.1599999999999997E-2</v>
          </cell>
          <cell r="P80">
            <v>4.1599999999999998E-2</v>
          </cell>
          <cell r="Q80">
            <v>5.5800000000000002E-2</v>
          </cell>
          <cell r="R80">
            <v>3.5799999999999998E-2</v>
          </cell>
        </row>
        <row r="81">
          <cell r="A81">
            <v>40360</v>
          </cell>
          <cell r="B81">
            <v>40451</v>
          </cell>
          <cell r="C81" t="e">
            <v>#REF!</v>
          </cell>
          <cell r="D81" t="str">
            <v>Yes</v>
          </cell>
          <cell r="E81" t="str">
            <v>No</v>
          </cell>
          <cell r="L81">
            <v>40360</v>
          </cell>
          <cell r="M81">
            <v>40451</v>
          </cell>
          <cell r="N81">
            <v>0.11799999999999999</v>
          </cell>
          <cell r="O81">
            <v>7.7999999999999986E-2</v>
          </cell>
          <cell r="P81">
            <v>4.7999999999999987E-2</v>
          </cell>
          <cell r="Q81">
            <v>5.8999999999999997E-2</v>
          </cell>
          <cell r="R81">
            <v>3.8999999999999993E-2</v>
          </cell>
        </row>
        <row r="82">
          <cell r="A82">
            <v>40452</v>
          </cell>
          <cell r="B82">
            <v>40543</v>
          </cell>
          <cell r="C82" t="e">
            <v>#REF!</v>
          </cell>
          <cell r="D82" t="str">
            <v>Yes</v>
          </cell>
          <cell r="E82" t="str">
            <v>No</v>
          </cell>
          <cell r="L82">
            <v>40452</v>
          </cell>
          <cell r="M82">
            <v>40543</v>
          </cell>
          <cell r="N82">
            <v>0.1174</v>
          </cell>
          <cell r="O82">
            <v>7.7399999999999997E-2</v>
          </cell>
          <cell r="P82">
            <v>4.7399999999999998E-2</v>
          </cell>
          <cell r="Q82">
            <v>5.8700000000000002E-2</v>
          </cell>
          <cell r="R82">
            <v>3.8699999999999998E-2</v>
          </cell>
        </row>
        <row r="83">
          <cell r="A83">
            <v>40544</v>
          </cell>
          <cell r="B83">
            <v>40633</v>
          </cell>
          <cell r="C83" t="e">
            <v>#REF!</v>
          </cell>
          <cell r="D83" t="str">
            <v>Yes</v>
          </cell>
          <cell r="E83" t="str">
            <v>No</v>
          </cell>
          <cell r="L83">
            <v>40544</v>
          </cell>
          <cell r="M83">
            <v>40633</v>
          </cell>
          <cell r="N83">
            <v>0.1202</v>
          </cell>
          <cell r="O83">
            <v>8.0199999999999994E-2</v>
          </cell>
          <cell r="P83">
            <v>5.0199999999999995E-2</v>
          </cell>
          <cell r="Q83">
            <v>6.0100000000000001E-2</v>
          </cell>
          <cell r="R83">
            <v>4.0099999999999997E-2</v>
          </cell>
        </row>
        <row r="84">
          <cell r="A84">
            <v>40634</v>
          </cell>
          <cell r="B84">
            <v>40724</v>
          </cell>
          <cell r="C84" t="e">
            <v>#REF!</v>
          </cell>
          <cell r="D84" t="str">
            <v>Yes</v>
          </cell>
          <cell r="E84" t="str">
            <v>No</v>
          </cell>
          <cell r="L84">
            <v>40634</v>
          </cell>
          <cell r="M84">
            <v>40724</v>
          </cell>
          <cell r="N84">
            <v>0.1192</v>
          </cell>
          <cell r="O84">
            <v>7.9199999999999993E-2</v>
          </cell>
          <cell r="P84">
            <v>4.9199999999999994E-2</v>
          </cell>
          <cell r="Q84">
            <v>5.96E-2</v>
          </cell>
          <cell r="R84">
            <v>3.9599999999999996E-2</v>
          </cell>
        </row>
        <row r="85">
          <cell r="A85">
            <v>40725</v>
          </cell>
          <cell r="B85">
            <v>40816</v>
          </cell>
          <cell r="C85" t="e">
            <v>#REF!</v>
          </cell>
          <cell r="D85" t="str">
            <v>Yes</v>
          </cell>
          <cell r="E85" t="str">
            <v>No</v>
          </cell>
          <cell r="L85">
            <v>40725</v>
          </cell>
          <cell r="M85">
            <v>40816</v>
          </cell>
          <cell r="N85">
            <v>0.12</v>
          </cell>
          <cell r="O85">
            <v>7.9999999999999988E-2</v>
          </cell>
          <cell r="P85">
            <v>4.9999999999999989E-2</v>
          </cell>
          <cell r="Q85">
            <v>0.06</v>
          </cell>
          <cell r="R85">
            <v>3.9999999999999994E-2</v>
          </cell>
        </row>
        <row r="86">
          <cell r="A86">
            <v>40817</v>
          </cell>
          <cell r="B86">
            <v>40908</v>
          </cell>
          <cell r="C86" t="e">
            <v>#REF!</v>
          </cell>
          <cell r="D86" t="str">
            <v>Yes</v>
          </cell>
          <cell r="E86" t="str">
            <v>No</v>
          </cell>
          <cell r="L86">
            <v>40817</v>
          </cell>
          <cell r="M86">
            <v>40908</v>
          </cell>
          <cell r="N86">
            <v>0.1186</v>
          </cell>
          <cell r="O86">
            <v>7.8600000000000003E-2</v>
          </cell>
          <cell r="P86">
            <v>4.859999999999999E-2</v>
          </cell>
          <cell r="Q86">
            <v>5.9299999999999999E-2</v>
          </cell>
          <cell r="R86">
            <v>3.9300000000000002E-2</v>
          </cell>
        </row>
        <row r="87">
          <cell r="A87">
            <v>40909</v>
          </cell>
          <cell r="B87">
            <v>40999</v>
          </cell>
          <cell r="C87" t="e">
            <v>#REF!</v>
          </cell>
          <cell r="D87" t="str">
            <v>Yes</v>
          </cell>
          <cell r="E87" t="str">
            <v>Yes</v>
          </cell>
          <cell r="L87">
            <v>40909</v>
          </cell>
          <cell r="M87">
            <v>40999</v>
          </cell>
          <cell r="N87">
            <v>0.1162</v>
          </cell>
          <cell r="O87">
            <v>7.619999999999999E-2</v>
          </cell>
          <cell r="P87">
            <v>4.6199999999999991E-2</v>
          </cell>
          <cell r="Q87">
            <v>5.8099999999999999E-2</v>
          </cell>
          <cell r="R87">
            <v>3.8099999999999995E-2</v>
          </cell>
        </row>
        <row r="88">
          <cell r="A88">
            <v>41000</v>
          </cell>
          <cell r="B88">
            <v>41090</v>
          </cell>
          <cell r="C88" t="e">
            <v>#REF!</v>
          </cell>
          <cell r="D88" t="str">
            <v>Yes</v>
          </cell>
          <cell r="E88" t="str">
            <v>Yes</v>
          </cell>
          <cell r="L88">
            <v>41000</v>
          </cell>
          <cell r="M88">
            <v>41090</v>
          </cell>
          <cell r="N88">
            <v>0.1137</v>
          </cell>
          <cell r="O88">
            <v>7.3699999999999988E-2</v>
          </cell>
          <cell r="P88">
            <v>4.3699999999999989E-2</v>
          </cell>
          <cell r="Q88">
            <v>5.6849999999999998E-2</v>
          </cell>
          <cell r="R88">
            <v>3.6849999999999994E-2</v>
          </cell>
        </row>
        <row r="89">
          <cell r="A89">
            <v>41091</v>
          </cell>
          <cell r="B89">
            <v>41182</v>
          </cell>
          <cell r="C89" t="e">
            <v>#REF!</v>
          </cell>
          <cell r="D89" t="str">
            <v>Yes</v>
          </cell>
          <cell r="E89" t="str">
            <v>Yes</v>
          </cell>
          <cell r="L89">
            <v>41091</v>
          </cell>
          <cell r="M89">
            <v>41182</v>
          </cell>
          <cell r="N89">
            <v>0.1066</v>
          </cell>
          <cell r="O89">
            <v>6.6599999999999993E-2</v>
          </cell>
          <cell r="P89">
            <v>3.6599999999999994E-2</v>
          </cell>
          <cell r="Q89">
            <v>5.33E-2</v>
          </cell>
          <cell r="R89">
            <v>3.3299999999999996E-2</v>
          </cell>
        </row>
        <row r="90">
          <cell r="A90">
            <v>41183</v>
          </cell>
          <cell r="B90">
            <v>41274</v>
          </cell>
          <cell r="C90" t="e">
            <v>#REF!</v>
          </cell>
          <cell r="D90" t="str">
            <v>Yes</v>
          </cell>
          <cell r="E90" t="str">
            <v>Yes</v>
          </cell>
          <cell r="L90">
            <v>41183</v>
          </cell>
          <cell r="M90">
            <v>41274</v>
          </cell>
          <cell r="N90">
            <v>0.1062</v>
          </cell>
          <cell r="O90">
            <v>6.6200000000000009E-2</v>
          </cell>
          <cell r="P90">
            <v>3.6199999999999996E-2</v>
          </cell>
          <cell r="Q90">
            <v>5.3100000000000001E-2</v>
          </cell>
          <cell r="R90">
            <v>3.3100000000000004E-2</v>
          </cell>
        </row>
        <row r="91">
          <cell r="A91">
            <v>41275</v>
          </cell>
          <cell r="B91">
            <v>41364</v>
          </cell>
          <cell r="C91" t="e">
            <v>#REF!</v>
          </cell>
          <cell r="D91" t="str">
            <v>Yes</v>
          </cell>
          <cell r="E91" t="str">
            <v>No</v>
          </cell>
          <cell r="L91">
            <v>41275</v>
          </cell>
          <cell r="M91">
            <v>41364</v>
          </cell>
          <cell r="N91">
            <v>0.1024</v>
          </cell>
          <cell r="O91">
            <v>6.2400000000000004E-2</v>
          </cell>
          <cell r="P91">
            <v>3.2399999999999998E-2</v>
          </cell>
          <cell r="Q91">
            <v>5.1200000000000002E-2</v>
          </cell>
          <cell r="R91">
            <v>3.1200000000000002E-2</v>
          </cell>
        </row>
        <row r="92">
          <cell r="A92">
            <v>41365</v>
          </cell>
          <cell r="B92">
            <v>41455</v>
          </cell>
          <cell r="C92" t="e">
            <v>#REF!</v>
          </cell>
          <cell r="D92" t="str">
            <v>Yes</v>
          </cell>
          <cell r="E92" t="str">
            <v>No</v>
          </cell>
          <cell r="L92">
            <v>41365</v>
          </cell>
          <cell r="M92">
            <v>41455</v>
          </cell>
          <cell r="N92">
            <v>9.9500000000000005E-2</v>
          </cell>
          <cell r="O92">
            <v>5.9500000000000004E-2</v>
          </cell>
          <cell r="P92">
            <v>2.9499999999999998E-2</v>
          </cell>
          <cell r="Q92">
            <v>4.9750000000000003E-2</v>
          </cell>
          <cell r="R92">
            <v>2.9750000000000002E-2</v>
          </cell>
        </row>
        <row r="93">
          <cell r="A93">
            <v>41456</v>
          </cell>
          <cell r="B93">
            <v>41547</v>
          </cell>
          <cell r="C93" t="e">
            <v>#REF!</v>
          </cell>
          <cell r="D93" t="str">
            <v>Yes</v>
          </cell>
          <cell r="E93" t="str">
            <v>No</v>
          </cell>
          <cell r="L93">
            <v>41456</v>
          </cell>
          <cell r="M93">
            <v>41547</v>
          </cell>
          <cell r="N93">
            <v>9.8199999999999996E-2</v>
          </cell>
          <cell r="O93">
            <v>5.8199999999999995E-2</v>
          </cell>
          <cell r="P93">
            <v>2.8199999999999989E-2</v>
          </cell>
          <cell r="Q93">
            <v>4.9099999999999998E-2</v>
          </cell>
          <cell r="R93">
            <v>2.9099999999999997E-2</v>
          </cell>
        </row>
        <row r="94">
          <cell r="A94">
            <v>41548</v>
          </cell>
          <cell r="B94">
            <v>41639</v>
          </cell>
          <cell r="C94" t="e">
            <v>#REF!</v>
          </cell>
          <cell r="D94" t="str">
            <v>Yes</v>
          </cell>
          <cell r="E94" t="str">
            <v>No</v>
          </cell>
          <cell r="L94">
            <v>41548</v>
          </cell>
          <cell r="M94">
            <v>41639</v>
          </cell>
          <cell r="N94">
            <v>9.6000000000000002E-2</v>
          </cell>
          <cell r="O94">
            <v>5.6000000000000001E-2</v>
          </cell>
          <cell r="P94">
            <v>2.5999999999999995E-2</v>
          </cell>
          <cell r="Q94">
            <v>4.8000000000000001E-2</v>
          </cell>
          <cell r="R94">
            <v>2.8000000000000001E-2</v>
          </cell>
        </row>
        <row r="95">
          <cell r="A95">
            <v>41640</v>
          </cell>
          <cell r="B95">
            <v>41729</v>
          </cell>
          <cell r="C95" t="e">
            <v>#REF!</v>
          </cell>
          <cell r="D95" t="str">
            <v>Yes</v>
          </cell>
          <cell r="E95" t="str">
            <v>No</v>
          </cell>
          <cell r="L95">
            <v>41640</v>
          </cell>
          <cell r="M95">
            <v>41729</v>
          </cell>
          <cell r="N95">
            <v>9.5899999999999999E-2</v>
          </cell>
          <cell r="O95">
            <v>5.5899999999999998E-2</v>
          </cell>
          <cell r="P95">
            <v>2.5899999999999992E-2</v>
          </cell>
          <cell r="Q95">
            <v>4.795E-2</v>
          </cell>
          <cell r="R95">
            <v>2.7949999999999999E-2</v>
          </cell>
        </row>
        <row r="96">
          <cell r="A96">
            <v>41730</v>
          </cell>
          <cell r="B96">
            <v>41820</v>
          </cell>
          <cell r="C96" t="e">
            <v>#REF!</v>
          </cell>
          <cell r="D96" t="str">
            <v>Yes</v>
          </cell>
          <cell r="E96" t="str">
            <v>No</v>
          </cell>
          <cell r="L96">
            <v>41729</v>
          </cell>
          <cell r="M96">
            <v>41791</v>
          </cell>
          <cell r="N96">
            <v>9.6299999999999997E-2</v>
          </cell>
          <cell r="O96">
            <v>5.6299999999999996E-2</v>
          </cell>
          <cell r="P96">
            <v>2.629999999999999E-2</v>
          </cell>
          <cell r="Q96">
            <v>4.8149999999999998E-2</v>
          </cell>
          <cell r="R96">
            <v>2.8149999999999998E-2</v>
          </cell>
        </row>
        <row r="97">
          <cell r="A97">
            <v>41821</v>
          </cell>
          <cell r="B97">
            <v>41912</v>
          </cell>
          <cell r="C97" t="e">
            <v>#REF!</v>
          </cell>
          <cell r="D97" t="str">
            <v>Yes</v>
          </cell>
          <cell r="E97">
            <v>0</v>
          </cell>
          <cell r="O97">
            <v>0</v>
          </cell>
          <cell r="P97">
            <v>0</v>
          </cell>
          <cell r="Q97">
            <v>0</v>
          </cell>
          <cell r="R97">
            <v>0</v>
          </cell>
        </row>
        <row r="98">
          <cell r="A98">
            <v>41913</v>
          </cell>
          <cell r="B98">
            <v>42004</v>
          </cell>
          <cell r="C98" t="e">
            <v>#REF!</v>
          </cell>
          <cell r="D98" t="str">
            <v>Yes</v>
          </cell>
          <cell r="E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</row>
        <row r="99">
          <cell r="C99" t="e">
            <v>#REF!</v>
          </cell>
          <cell r="D99" t="str">
            <v>Yes</v>
          </cell>
          <cell r="E99">
            <v>0</v>
          </cell>
          <cell r="O99">
            <v>0</v>
          </cell>
          <cell r="P99">
            <v>0</v>
          </cell>
          <cell r="Q99">
            <v>0</v>
          </cell>
          <cell r="R99">
            <v>0</v>
          </cell>
        </row>
        <row r="100">
          <cell r="C100" t="e">
            <v>#REF!</v>
          </cell>
          <cell r="D100" t="str">
            <v>Yes</v>
          </cell>
          <cell r="E100">
            <v>0</v>
          </cell>
          <cell r="O100">
            <v>0</v>
          </cell>
          <cell r="P100">
            <v>0</v>
          </cell>
          <cell r="Q100">
            <v>0</v>
          </cell>
          <cell r="R100">
            <v>0</v>
          </cell>
        </row>
        <row r="101">
          <cell r="C101" t="e">
            <v>#REF!</v>
          </cell>
          <cell r="D101" t="str">
            <v>Yes</v>
          </cell>
          <cell r="E101">
            <v>0</v>
          </cell>
          <cell r="O101">
            <v>0</v>
          </cell>
          <cell r="P101">
            <v>0</v>
          </cell>
          <cell r="Q101">
            <v>0</v>
          </cell>
          <cell r="R101">
            <v>0</v>
          </cell>
        </row>
        <row r="102">
          <cell r="C102" t="e">
            <v>#REF!</v>
          </cell>
          <cell r="D102" t="str">
            <v>Yes</v>
          </cell>
          <cell r="E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</row>
        <row r="103">
          <cell r="C103" t="e">
            <v>#REF!</v>
          </cell>
          <cell r="D103" t="str">
            <v>Yes</v>
          </cell>
          <cell r="E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</row>
        <row r="104">
          <cell r="C104" t="e">
            <v>#REF!</v>
          </cell>
          <cell r="D104" t="str">
            <v>Yes</v>
          </cell>
          <cell r="E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</row>
        <row r="105">
          <cell r="C105" t="e">
            <v>#REF!</v>
          </cell>
          <cell r="D105" t="str">
            <v>Yes</v>
          </cell>
          <cell r="E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</row>
        <row r="106">
          <cell r="C106" t="e">
            <v>#REF!</v>
          </cell>
          <cell r="D106" t="str">
            <v>Yes</v>
          </cell>
          <cell r="E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</row>
        <row r="107">
          <cell r="C107" t="e">
            <v>#REF!</v>
          </cell>
          <cell r="D107" t="str">
            <v>Yes</v>
          </cell>
          <cell r="E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</row>
        <row r="108">
          <cell r="C108" t="e">
            <v>#REF!</v>
          </cell>
          <cell r="D108" t="str">
            <v>Yes</v>
          </cell>
          <cell r="E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</row>
        <row r="109">
          <cell r="C109" t="e">
            <v>#REF!</v>
          </cell>
          <cell r="D109" t="str">
            <v>Yes</v>
          </cell>
          <cell r="E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</row>
        <row r="110">
          <cell r="C110" t="e">
            <v>#REF!</v>
          </cell>
          <cell r="D110" t="str">
            <v>Yes</v>
          </cell>
          <cell r="E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</row>
        <row r="111">
          <cell r="C111" t="e">
            <v>#REF!</v>
          </cell>
          <cell r="D111" t="str">
            <v>Yes</v>
          </cell>
          <cell r="E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</row>
        <row r="112">
          <cell r="C112" t="e">
            <v>#REF!</v>
          </cell>
          <cell r="D112" t="str">
            <v>Yes</v>
          </cell>
          <cell r="E112">
            <v>0</v>
          </cell>
          <cell r="O112">
            <v>0</v>
          </cell>
          <cell r="P112">
            <v>0</v>
          </cell>
          <cell r="Q112">
            <v>0</v>
          </cell>
          <cell r="R112">
            <v>0</v>
          </cell>
        </row>
        <row r="113">
          <cell r="C113" t="e">
            <v>#REF!</v>
          </cell>
          <cell r="D113" t="str">
            <v>Yes</v>
          </cell>
          <cell r="E113">
            <v>0</v>
          </cell>
          <cell r="O113">
            <v>0</v>
          </cell>
          <cell r="P113">
            <v>0</v>
          </cell>
          <cell r="Q113">
            <v>0</v>
          </cell>
          <cell r="R113">
            <v>0</v>
          </cell>
        </row>
        <row r="114">
          <cell r="C114" t="e">
            <v>#REF!</v>
          </cell>
          <cell r="D114" t="str">
            <v>Yes</v>
          </cell>
          <cell r="E114">
            <v>0</v>
          </cell>
        </row>
        <row r="115">
          <cell r="C115" t="e">
            <v>#REF!</v>
          </cell>
          <cell r="D115" t="str">
            <v>Yes</v>
          </cell>
          <cell r="E115">
            <v>0</v>
          </cell>
        </row>
        <row r="116">
          <cell r="C116" t="e">
            <v>#REF!</v>
          </cell>
          <cell r="D116" t="str">
            <v>Yes</v>
          </cell>
          <cell r="E116">
            <v>0</v>
          </cell>
        </row>
        <row r="117">
          <cell r="C117" t="e">
            <v>#REF!</v>
          </cell>
          <cell r="D117" t="str">
            <v>Yes</v>
          </cell>
          <cell r="E117">
            <v>0</v>
          </cell>
        </row>
        <row r="118">
          <cell r="C118" t="e">
            <v>#REF!</v>
          </cell>
          <cell r="D118" t="str">
            <v>Yes</v>
          </cell>
          <cell r="E118">
            <v>0</v>
          </cell>
        </row>
        <row r="119">
          <cell r="C119" t="e">
            <v>#REF!</v>
          </cell>
          <cell r="D119" t="str">
            <v>Yes</v>
          </cell>
          <cell r="E119">
            <v>0</v>
          </cell>
        </row>
        <row r="120">
          <cell r="C120" t="e">
            <v>#REF!</v>
          </cell>
          <cell r="D120" t="str">
            <v>Yes</v>
          </cell>
          <cell r="E120">
            <v>0</v>
          </cell>
        </row>
        <row r="121">
          <cell r="C121" t="e">
            <v>#REF!</v>
          </cell>
          <cell r="D121" t="str">
            <v>Yes</v>
          </cell>
          <cell r="E121">
            <v>0</v>
          </cell>
        </row>
        <row r="122">
          <cell r="C122" t="e">
            <v>#REF!</v>
          </cell>
          <cell r="D122" t="str">
            <v>Yes</v>
          </cell>
          <cell r="E122">
            <v>0</v>
          </cell>
        </row>
        <row r="123">
          <cell r="C123" t="e">
            <v>#REF!</v>
          </cell>
          <cell r="D123" t="str">
            <v>Yes</v>
          </cell>
          <cell r="E123">
            <v>0</v>
          </cell>
        </row>
        <row r="124">
          <cell r="C124" t="e">
            <v>#REF!</v>
          </cell>
          <cell r="D124" t="str">
            <v>Yes</v>
          </cell>
          <cell r="E124">
            <v>0</v>
          </cell>
        </row>
        <row r="125">
          <cell r="C125" t="e">
            <v>#REF!</v>
          </cell>
          <cell r="D125" t="str">
            <v>Yes</v>
          </cell>
          <cell r="E125">
            <v>0</v>
          </cell>
        </row>
        <row r="126">
          <cell r="C126" t="e">
            <v>#REF!</v>
          </cell>
          <cell r="D126" t="str">
            <v>Yes</v>
          </cell>
          <cell r="E126">
            <v>0</v>
          </cell>
        </row>
        <row r="127">
          <cell r="C127" t="e">
            <v>#REF!</v>
          </cell>
          <cell r="D127" t="str">
            <v>Yes</v>
          </cell>
          <cell r="E127">
            <v>0</v>
          </cell>
        </row>
        <row r="128">
          <cell r="C128" t="e">
            <v>#REF!</v>
          </cell>
          <cell r="D128" t="str">
            <v>Yes</v>
          </cell>
          <cell r="E128">
            <v>0</v>
          </cell>
        </row>
        <row r="129">
          <cell r="C129" t="e">
            <v>#REF!</v>
          </cell>
          <cell r="D129" t="str">
            <v>Yes</v>
          </cell>
          <cell r="E129">
            <v>0</v>
          </cell>
        </row>
        <row r="130">
          <cell r="C130" t="e">
            <v>#REF!</v>
          </cell>
          <cell r="D130" t="str">
            <v>Yes</v>
          </cell>
          <cell r="E130">
            <v>0</v>
          </cell>
        </row>
        <row r="131">
          <cell r="C131" t="e">
            <v>#REF!</v>
          </cell>
          <cell r="D131" t="str">
            <v>Yes</v>
          </cell>
          <cell r="E131">
            <v>0</v>
          </cell>
        </row>
        <row r="132">
          <cell r="C132" t="e">
            <v>#REF!</v>
          </cell>
          <cell r="D132" t="str">
            <v>Yes</v>
          </cell>
          <cell r="E132">
            <v>0</v>
          </cell>
        </row>
        <row r="133">
          <cell r="C133" t="e">
            <v>#REF!</v>
          </cell>
          <cell r="D133" t="str">
            <v>Yes</v>
          </cell>
          <cell r="E133">
            <v>0</v>
          </cell>
        </row>
        <row r="134">
          <cell r="C134" t="e">
            <v>#REF!</v>
          </cell>
          <cell r="D134" t="str">
            <v>Yes</v>
          </cell>
          <cell r="E134">
            <v>0</v>
          </cell>
        </row>
        <row r="135">
          <cell r="C135" t="e">
            <v>#REF!</v>
          </cell>
          <cell r="D135" t="str">
            <v>Yes</v>
          </cell>
          <cell r="E135">
            <v>0</v>
          </cell>
        </row>
        <row r="136">
          <cell r="C136" t="e">
            <v>#REF!</v>
          </cell>
          <cell r="D136" t="str">
            <v>Yes</v>
          </cell>
          <cell r="E136">
            <v>0</v>
          </cell>
        </row>
        <row r="137">
          <cell r="C137" t="e">
            <v>#REF!</v>
          </cell>
          <cell r="D137" t="str">
            <v>Yes</v>
          </cell>
          <cell r="E137">
            <v>0</v>
          </cell>
        </row>
        <row r="138">
          <cell r="C138" t="e">
            <v>#REF!</v>
          </cell>
          <cell r="D138" t="str">
            <v>Yes</v>
          </cell>
          <cell r="E138">
            <v>0</v>
          </cell>
        </row>
        <row r="139">
          <cell r="C139" t="e">
            <v>#REF!</v>
          </cell>
          <cell r="D139" t="str">
            <v>Yes</v>
          </cell>
          <cell r="E139">
            <v>0</v>
          </cell>
        </row>
        <row r="140">
          <cell r="C140" t="e">
            <v>#REF!</v>
          </cell>
          <cell r="D140" t="str">
            <v>Yes</v>
          </cell>
          <cell r="E140">
            <v>0</v>
          </cell>
        </row>
        <row r="141">
          <cell r="C141" t="e">
            <v>#REF!</v>
          </cell>
          <cell r="D141" t="str">
            <v>Yes</v>
          </cell>
          <cell r="E141">
            <v>0</v>
          </cell>
        </row>
        <row r="142">
          <cell r="C142" t="e">
            <v>#REF!</v>
          </cell>
          <cell r="D142" t="str">
            <v>Yes</v>
          </cell>
          <cell r="E142">
            <v>0</v>
          </cell>
        </row>
        <row r="143">
          <cell r="C143" t="e">
            <v>#REF!</v>
          </cell>
          <cell r="D143" t="str">
            <v>Yes</v>
          </cell>
          <cell r="E143">
            <v>0</v>
          </cell>
        </row>
        <row r="144">
          <cell r="C144" t="e">
            <v>#REF!</v>
          </cell>
          <cell r="D144" t="str">
            <v>Yes</v>
          </cell>
          <cell r="E144">
            <v>0</v>
          </cell>
        </row>
        <row r="145">
          <cell r="C145" t="e">
            <v>#REF!</v>
          </cell>
          <cell r="D145" t="str">
            <v>Yes</v>
          </cell>
          <cell r="E145">
            <v>0</v>
          </cell>
        </row>
        <row r="146">
          <cell r="C146" t="e">
            <v>#REF!</v>
          </cell>
          <cell r="D146" t="str">
            <v>Yes</v>
          </cell>
          <cell r="E146">
            <v>0</v>
          </cell>
        </row>
        <row r="147">
          <cell r="C147" t="e">
            <v>#REF!</v>
          </cell>
          <cell r="D147" t="str">
            <v>Yes</v>
          </cell>
          <cell r="E147">
            <v>0</v>
          </cell>
        </row>
        <row r="148">
          <cell r="C148" t="e">
            <v>#REF!</v>
          </cell>
          <cell r="D148" t="str">
            <v>Yes</v>
          </cell>
          <cell r="E148">
            <v>0</v>
          </cell>
        </row>
        <row r="149">
          <cell r="C149" t="e">
            <v>#REF!</v>
          </cell>
          <cell r="D149" t="str">
            <v>Yes</v>
          </cell>
          <cell r="E149">
            <v>0</v>
          </cell>
        </row>
        <row r="150">
          <cell r="C150" t="e">
            <v>#REF!</v>
          </cell>
          <cell r="D150" t="str">
            <v>Yes</v>
          </cell>
          <cell r="E150">
            <v>0</v>
          </cell>
        </row>
      </sheetData>
      <sheetData sheetId="16"/>
      <sheetData sheetId="17" refreshError="1"/>
      <sheetData sheetId="18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ile Index"/>
      <sheetName val="Standard Rates"/>
      <sheetName val="Billing Budget"/>
      <sheetName val="Start Checklist"/>
      <sheetName val="Carry Forward Notes - This Year"/>
      <sheetName val="Carry Forward Notes - Next Year"/>
      <sheetName val="ITR Cover Sheet"/>
      <sheetName val="Printing Checklist"/>
      <sheetName val="WCWDFY"/>
      <sheetName val="Client File Note"/>
      <sheetName val="Review Issues Sheet"/>
      <sheetName val="Journals (1 page)"/>
      <sheetName val="STS Worksheet"/>
      <sheetName val="Tax Rec"/>
      <sheetName val="QA Checklist"/>
      <sheetName val="End Of Engagement Checklist"/>
      <sheetName val="Client Risk Assessment"/>
      <sheetName val="Checklist - At-Call Loan"/>
      <sheetName val="Checklist - Div7A"/>
      <sheetName val="Checklist - FTE"/>
      <sheetName val="Checklist - P'ship Doco"/>
      <sheetName val="Checklist - Trust Deed"/>
      <sheetName val="Checklist - Workers Comp"/>
      <sheetName val="Checklist - Service Entity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P - Mazda BLT87W"/>
      <sheetName val="Journal"/>
      <sheetName val="Queries"/>
      <sheetName val="Trial Balance"/>
      <sheetName val="Coding"/>
      <sheetName val="Adjusting Journal"/>
      <sheetName val="Journals"/>
      <sheetName val="H1"/>
      <sheetName val="H3"/>
      <sheetName val="Payroll Tax 2014"/>
      <sheetName val="BAS Summary"/>
      <sheetName val="HP - Golf BNX64P"/>
      <sheetName val="HP - VW BPE 76M"/>
      <sheetName val="HP - Panasonic Phone System"/>
      <sheetName val="Salary Reconcilliation"/>
      <sheetName val="HP - Audi A3"/>
      <sheetName val="HP - 3 Dell"/>
      <sheetName val="HP - Server"/>
      <sheetName val="Loan - Operational Software"/>
      <sheetName val="Loan - Dell Desktop 9"/>
      <sheetName val="Loan - Dell Desktop 6"/>
      <sheetName val="Loan - VW Scirocco"/>
      <sheetName val="Loan - Office Fitout"/>
      <sheetName val="Macquarie Premium Funding"/>
      <sheetName val="Prepayments"/>
    </sheetNames>
    <sheetDataSet>
      <sheetData sheetId="0">
        <row r="11">
          <cell r="V11">
            <v>28500.151539263472</v>
          </cell>
        </row>
        <row r="13">
          <cell r="H13">
            <v>36218.410000000003</v>
          </cell>
        </row>
        <row r="14">
          <cell r="H14">
            <v>28500</v>
          </cell>
        </row>
      </sheetData>
      <sheetData sheetId="1" refreshError="1"/>
      <sheetData sheetId="2" refreshError="1"/>
      <sheetData sheetId="3">
        <row r="20">
          <cell r="K20">
            <v>-3732.6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in"/>
      <sheetName val="SCTRSC"/>
      <sheetName val="FT"/>
      <sheetName val="FX"/>
      <sheetName val="SCSP"/>
      <sheetName val="SCCA"/>
      <sheetName val="TRANSFERS"/>
      <sheetName val="CHARGES"/>
      <sheetName val="FDO"/>
      <sheetName val="Inputs"/>
      <sheetName val="2009"/>
      <sheetName val="2010"/>
      <sheetName val="2011"/>
      <sheetName val="2012"/>
      <sheetName val="Summary"/>
      <sheetName val="Attribution to AL"/>
      <sheetName val="Omitted Income  550442 (2)"/>
      <sheetName val="Omitted Income  550442"/>
      <sheetName val="Omitted Income 1035658"/>
      <sheetName val="Omitted Income Summary"/>
      <sheetName val="Forex"/>
      <sheetName val="Funds on Deposit"/>
      <sheetName val="DX"/>
      <sheetName val="MMI"/>
      <sheetName val="MM"/>
      <sheetName val="DC"/>
      <sheetName val="LD"/>
      <sheetName val="static"/>
      <sheetName val="Settings"/>
      <sheetName val="Funds on Deposit (2)"/>
      <sheetName val="Income"/>
      <sheetName val="Deductions"/>
      <sheetName val="Capital Gains (Bonds &amp; Options)"/>
      <sheetName val="Capital Gains (Equities)"/>
      <sheetName val="Capital Gains (FOREX)"/>
      <sheetName val="FT (2)"/>
      <sheetName val="Queries"/>
      <sheetName val="Bank Interest"/>
      <sheetName val="Interest Earned"/>
      <sheetName val="Forex Mastersheet"/>
      <sheetName val="Currency Table"/>
      <sheetName val="Summary for Portfolio"/>
      <sheetName val="User Manual"/>
      <sheetName val="Home"/>
      <sheetName val="Index"/>
      <sheetName val="CPN"/>
      <sheetName val="Current Year Queries"/>
      <sheetName val="Partner Attention"/>
      <sheetName val="Practice Feedback"/>
      <sheetName val="Profit &amp; Loss"/>
      <sheetName val="Balance Sheet"/>
      <sheetName val="Trial Balance"/>
      <sheetName val="Yearend Journal"/>
      <sheetName val="Opening Adjustment"/>
      <sheetName val="Net Movement Working"/>
      <sheetName val="Group Tax Summary"/>
      <sheetName val="Accrual to Cash"/>
      <sheetName val="Tax"/>
      <sheetName val="DFA"/>
      <sheetName val="Tax Reco- Company"/>
      <sheetName val="Tax Reco - Simple"/>
      <sheetName val="Tax Reco - Non Company"/>
      <sheetName val="GST Annual"/>
      <sheetName val="Bank Reconciliation"/>
      <sheetName val="Bank Allocation"/>
      <sheetName val="Fixed asset summary"/>
      <sheetName val="Depreciation Worksheet"/>
      <sheetName val="Asset Loan Summary"/>
      <sheetName val="Asset Loan Schedule"/>
      <sheetName val="HP repayment Schedule"/>
      <sheetName val="Asset Loan Schedule (2)"/>
      <sheetName val="HP repayment Schedule (2)"/>
      <sheetName val="Asset Loan Schedule (3)"/>
      <sheetName val="HP repayment Schedule (3)"/>
      <sheetName val="Asset Loan Schedule (4)"/>
      <sheetName val="HP repayment Schedule (4)"/>
      <sheetName val="Asset Loan Schedule (5)"/>
      <sheetName val="Div 7A Summary"/>
      <sheetName val="HP repayment Schedule (5)"/>
      <sheetName val="Div 7A Loan 1"/>
      <sheetName val="Div 7A Loan 2"/>
      <sheetName val="Div 7A Loan 3"/>
      <sheetName val="Div 7A Loan 4"/>
      <sheetName val="Div 7A Loan 5"/>
      <sheetName val="Div7A Calculator"/>
      <sheetName val="Investment Register"/>
      <sheetName val="Borrowing Cost Schedule"/>
      <sheetName val="CGT - Property"/>
      <sheetName val="Loan Matrix"/>
      <sheetName val="BAS Reco."/>
      <sheetName val="BAS Reco - Qtr"/>
      <sheetName val="BAS Reco - Monthly"/>
      <sheetName val="ICA Reco"/>
      <sheetName val="GST Rec"/>
      <sheetName val="ITA Reco"/>
      <sheetName val="Other Reconciliation"/>
      <sheetName val="Distribution"/>
      <sheetName val="Dividend Income Schedule"/>
      <sheetName val="Rental Income"/>
      <sheetName val="FBT Car"/>
      <sheetName val="FBT Entertainment"/>
      <sheetName val="PSI"/>
      <sheetName val="Client Data"/>
      <sheetName val="BS (ANZ) (2)"/>
      <sheetName val="PL (ANZ) (2)"/>
      <sheetName val="BS (AU) (2)"/>
      <sheetName val="PL (AU) (2)"/>
      <sheetName val="BS (NZ) (2)"/>
      <sheetName val="PL (NZ) (2)"/>
      <sheetName val="AU (TB)"/>
      <sheetName val="NZ (TB)"/>
      <sheetName val="Payroll tax"/>
      <sheetName val="BS (ANZ)"/>
      <sheetName val="PL (ANZ)"/>
      <sheetName val="BS (AU)"/>
      <sheetName val="PL (AU)"/>
      <sheetName val="BS (NZ)"/>
      <sheetName val="PL (NZ)"/>
      <sheetName val="Payroll Summary "/>
      <sheetName val="ANZ_BS"/>
      <sheetName val="ANZ_PL"/>
      <sheetName val="AU_BS"/>
      <sheetName val="AU_PL"/>
      <sheetName val="NZ_BS"/>
      <sheetName val="NZ_PL"/>
      <sheetName val="STATUS"/>
      <sheetName val="TB"/>
      <sheetName val="Balance Sheet (2)"/>
      <sheetName val="BS.1"/>
      <sheetName val="BS.2"/>
      <sheetName val="BS.3"/>
      <sheetName val="BS.4"/>
      <sheetName val="BS.5"/>
      <sheetName val="BS.6"/>
      <sheetName val="BS.7"/>
      <sheetName val="BS.8"/>
      <sheetName val="BS.9"/>
      <sheetName val="BS.10"/>
      <sheetName val="BS.11"/>
      <sheetName val="BS.12"/>
      <sheetName val="BS.13"/>
      <sheetName val="BS.14"/>
      <sheetName val="BS.15"/>
      <sheetName val="BS.16"/>
      <sheetName val="BS.17"/>
      <sheetName val="BS.18"/>
      <sheetName val="BS.19"/>
      <sheetName val="BS.20"/>
      <sheetName val="BS.21"/>
      <sheetName val="BS.22"/>
      <sheetName val="BS.23"/>
      <sheetName val="BS.24"/>
      <sheetName val="BS.25"/>
      <sheetName val="BS.26"/>
      <sheetName val="BS.27"/>
      <sheetName val="BS.28"/>
      <sheetName val="BS.29"/>
      <sheetName val="BS.30"/>
      <sheetName val="BS.31"/>
      <sheetName val="BS.32"/>
      <sheetName val="BS.33"/>
      <sheetName val="Profit &amp; Loss (2)"/>
      <sheetName val="P&amp;L (Region)"/>
      <sheetName val="P&amp;L (Function)"/>
      <sheetName val="PL.1"/>
      <sheetName val="PL.2"/>
      <sheetName val="PL.3"/>
      <sheetName val="PL.4"/>
      <sheetName val="PL.5"/>
      <sheetName val="PL.6"/>
      <sheetName val="PL.7"/>
      <sheetName val="PL.8"/>
      <sheetName val="PL.9"/>
      <sheetName val="PL.10"/>
      <sheetName val="PL.11"/>
      <sheetName val="PL.12"/>
      <sheetName val="PL.13"/>
      <sheetName val="PL.14"/>
      <sheetName val="PL.15"/>
      <sheetName val="PL.16"/>
      <sheetName val="PL.17"/>
      <sheetName val="PL.18"/>
      <sheetName val="PL.19"/>
      <sheetName val="PL.20"/>
      <sheetName val="PL.21"/>
      <sheetName val="PL.22"/>
      <sheetName val="PL.23"/>
      <sheetName val="PL.24"/>
      <sheetName val="PL.25"/>
      <sheetName val="PL.26"/>
      <sheetName val="PL.27"/>
      <sheetName val="PL.28"/>
      <sheetName val="PL.29"/>
      <sheetName val="PL.30"/>
      <sheetName val="PL.31"/>
      <sheetName val="PL.32"/>
      <sheetName val="PL.33"/>
      <sheetName val="PL.34"/>
      <sheetName val="PL.35"/>
      <sheetName val="PL.36"/>
      <sheetName val="PL.37"/>
      <sheetName val="PL.38"/>
      <sheetName val="PL.39"/>
      <sheetName val="PL.40"/>
      <sheetName val="PL.41"/>
      <sheetName val="PL.42"/>
      <sheetName val="PL.43"/>
      <sheetName val="PL.44"/>
      <sheetName val="PL.45"/>
      <sheetName val="PL.46"/>
      <sheetName val="PL.47"/>
      <sheetName val="PL.48"/>
      <sheetName val="PL.49"/>
      <sheetName val="PL.50"/>
      <sheetName val="PL.51"/>
      <sheetName val="PL.52"/>
      <sheetName val="PL.53"/>
      <sheetName val="PL.54"/>
      <sheetName val="PL.55"/>
      <sheetName val="PL.56"/>
      <sheetName val="PL.57"/>
      <sheetName val="AU_TB"/>
      <sheetName val="AU_BS (2)"/>
      <sheetName val="AU_PL (2)"/>
      <sheetName val="STATUS (2)"/>
      <sheetName val="TB (2)"/>
      <sheetName val="Balance Sheet (3)"/>
      <sheetName val="BS.1 (2)"/>
      <sheetName val="BS.2 (2)"/>
      <sheetName val="BS.3 (2)"/>
      <sheetName val="BS.4 (2)"/>
      <sheetName val="BS.5 (2)"/>
      <sheetName val="BS.6 (2)"/>
      <sheetName val="BS.7 (2)"/>
      <sheetName val="BS.8 (2)"/>
      <sheetName val="BS.9 (2)"/>
      <sheetName val="BS.10 (2)"/>
      <sheetName val="BS.11 (2)"/>
      <sheetName val="BS.12 (2)"/>
      <sheetName val="BS.13 (2)"/>
      <sheetName val="BS.14 (2)"/>
      <sheetName val="BS.15 (2)"/>
      <sheetName val="BS.16 (2)"/>
      <sheetName val="BS.17 (2)"/>
      <sheetName val="BS.18 (2)"/>
      <sheetName val="BS.19 (2)"/>
      <sheetName val="BS.20 (2)"/>
      <sheetName val="BS.21 (2)"/>
      <sheetName val="BS.22 (2)"/>
      <sheetName val="BS.23 (2)"/>
      <sheetName val="BS.24 (2)"/>
      <sheetName val="BS.25 (2)"/>
      <sheetName val="BS.26 (2)"/>
      <sheetName val="BS.27 (2)"/>
      <sheetName val="BS.28 (2)"/>
      <sheetName val="BS.29 (2)"/>
      <sheetName val="BS.30 (2)"/>
      <sheetName val="BS.31 (2)"/>
      <sheetName val="BS.32 (2)"/>
      <sheetName val="BS.33 (2)"/>
      <sheetName val="STATUS (3)"/>
      <sheetName val="TB (3)"/>
      <sheetName val="Balance Sheet (4)"/>
      <sheetName val="BS.1 (3)"/>
      <sheetName val="BS.2 (3)"/>
      <sheetName val="BS.3 (3)"/>
      <sheetName val="BS.4 (3)"/>
      <sheetName val="BS.5 (3)"/>
      <sheetName val="BS.6 (3)"/>
      <sheetName val="BS.7 (3)"/>
      <sheetName val="BS.8 (3)"/>
      <sheetName val="BS.9 (3)"/>
      <sheetName val="BS.10 (3)"/>
      <sheetName val="BS.11 (3)"/>
      <sheetName val="BS.12 (3)"/>
      <sheetName val="BS.13 (3)"/>
      <sheetName val="BS.14 (3)"/>
      <sheetName val="BS.15 (3)"/>
      <sheetName val="BS.16 (3)"/>
      <sheetName val="BS.17 (3)"/>
      <sheetName val="BS.18 (3)"/>
      <sheetName val="BS.19 (3)"/>
      <sheetName val="BS.20 (3)"/>
      <sheetName val="BS.21 (3)"/>
      <sheetName val="BS.22 (3)"/>
      <sheetName val="BS.23 (3)"/>
      <sheetName val="BS.24 (3)"/>
      <sheetName val="BS.25 (3)"/>
      <sheetName val="BS.26 (3)"/>
      <sheetName val="BS.27 (3)"/>
      <sheetName val="BS.28 (3)"/>
      <sheetName val="BS.29 (3)"/>
      <sheetName val="BS.30 (3)"/>
      <sheetName val="BS.31 (3)"/>
      <sheetName val="BS.32 (3)"/>
      <sheetName val="BS.33 (3)"/>
      <sheetName val="Profit &amp; Loss (3)"/>
      <sheetName val="Profit &amp; Loss (Region)"/>
      <sheetName val="Profit &amp; Loss (Function)"/>
      <sheetName val="PL.1 (2)"/>
      <sheetName val="PL.2 (2)"/>
      <sheetName val="PL.3 (2)"/>
      <sheetName val="PL.4 (2)"/>
      <sheetName val="PL.5 (2)"/>
      <sheetName val="PL.6 (2)"/>
      <sheetName val="PL.7 (2)"/>
      <sheetName val="PL.8 (2)"/>
      <sheetName val="PL.9 (2)"/>
      <sheetName val="PL.10 (2)"/>
      <sheetName val="PL.11 (2)"/>
      <sheetName val="PL.12 (2)"/>
      <sheetName val="PL.13 (2)"/>
      <sheetName val="PL.14 (2)"/>
      <sheetName val="PL.15 (2)"/>
      <sheetName val="PL.16 (2)"/>
      <sheetName val="PL.17 (2)"/>
      <sheetName val="PL.18 (2)"/>
      <sheetName val="PL.19 (2)"/>
      <sheetName val="PL.20 (2)"/>
      <sheetName val="PL.21 (2)"/>
      <sheetName val="PL.22 (2)"/>
      <sheetName val="PL.23 (2)"/>
      <sheetName val="PL.24 (2)"/>
      <sheetName val="PL.25 (2)"/>
      <sheetName val="PL.26 (2)"/>
      <sheetName val="PL.27 (2)"/>
      <sheetName val="PL.28 (2)"/>
      <sheetName val="PL.29 (2)"/>
      <sheetName val="PL.30 (2)"/>
      <sheetName val="PL.31 (2)"/>
      <sheetName val="PL.32 (2)"/>
      <sheetName val="PL.33 (2)"/>
      <sheetName val="PL.34 (2)"/>
      <sheetName val="PL.35 (2)"/>
      <sheetName val="PL.36 (2)"/>
      <sheetName val="PL.37 (2)"/>
      <sheetName val="PL.38 (2)"/>
      <sheetName val="PL.39 (2)"/>
      <sheetName val="PL.40 (2)"/>
      <sheetName val="PL.41 (2)"/>
      <sheetName val="PL.42 (2)"/>
      <sheetName val="PL.43 (2)"/>
      <sheetName val="PL.44 (2)"/>
      <sheetName val="PL.45 (2)"/>
      <sheetName val="PL.46 (2)"/>
      <sheetName val="PL.47 (2)"/>
      <sheetName val="PL.48 (2)"/>
      <sheetName val="PL.49 (2)"/>
      <sheetName val="PL.50 (2)"/>
      <sheetName val="PL.51 (2)"/>
      <sheetName val="PL.52 (2)"/>
      <sheetName val="PL.53 (2)"/>
      <sheetName val="PL.54 (2)"/>
      <sheetName val="PL.55 (2)"/>
      <sheetName val="PL.56 (2)"/>
      <sheetName val="PL.57 (2)"/>
      <sheetName val="Profit &amp; Loss (4)"/>
      <sheetName val="Profit &amp; Loss (Region) (2)"/>
      <sheetName val="Profit &amp; Loss (Function) (2)"/>
      <sheetName val="PL.1 (3)"/>
      <sheetName val="PL.2 (3)"/>
      <sheetName val="PL.3 (3)"/>
      <sheetName val="PL.4 (3)"/>
      <sheetName val="PL.5 (3)"/>
      <sheetName val="PL.6 (3)"/>
      <sheetName val="PL.7 (3)"/>
      <sheetName val="PL.8 (3)"/>
      <sheetName val="PL.9 (3)"/>
      <sheetName val="PL.10 (3)"/>
      <sheetName val="PL.11 (3)"/>
      <sheetName val="PL.12 (3)"/>
      <sheetName val="PL.13 (3)"/>
      <sheetName val="PL.14 (3)"/>
      <sheetName val="PL.15 (3)"/>
      <sheetName val="PL.16 (3)"/>
      <sheetName val="PL.17 (3)"/>
      <sheetName val="PL.18 (3)"/>
      <sheetName val="PL.19 (3)"/>
      <sheetName val="PL.20 (3)"/>
      <sheetName val="PL.21 (3)"/>
      <sheetName val="PL.22 (3)"/>
      <sheetName val="PL.23 (3)"/>
      <sheetName val="PL.24 (3)"/>
      <sheetName val="PL.25 (3)"/>
      <sheetName val="PL.26 (3)"/>
      <sheetName val="PL.27 (3)"/>
      <sheetName val="PL.28 (3)"/>
      <sheetName val="PL.29 (3)"/>
      <sheetName val="PL.30 (3)"/>
      <sheetName val="PL.31 (3)"/>
      <sheetName val="PL.32 (3)"/>
      <sheetName val="PL.33 (3)"/>
      <sheetName val="PL.34 (3)"/>
      <sheetName val="PL.35 (3)"/>
      <sheetName val="PL.36 (3)"/>
      <sheetName val="PL.37 (3)"/>
      <sheetName val="PL.38 (3)"/>
      <sheetName val="PL.39 (3)"/>
      <sheetName val="PL.40 (3)"/>
      <sheetName val="PL.41 (3)"/>
      <sheetName val="PL.42 (3)"/>
      <sheetName val="PL.43 (3)"/>
      <sheetName val="PL.44 (3)"/>
      <sheetName val="PL.45 (3)"/>
      <sheetName val="PL.46 (3)"/>
      <sheetName val="PL.47 (3)"/>
      <sheetName val="PL.48 (3)"/>
      <sheetName val="PL.49 (3)"/>
      <sheetName val="PL.50 (3)"/>
      <sheetName val="PL.51 (3)"/>
      <sheetName val="PL.52 (3)"/>
      <sheetName val="PL.53 (3)"/>
      <sheetName val="PL.54 (3)"/>
      <sheetName val="PL.55 (3)"/>
      <sheetName val="PL.56 (3)"/>
      <sheetName val="PL.57 (3)"/>
      <sheetName val="NZ_TB"/>
      <sheetName val="NZ_BS (2)"/>
      <sheetName val="NZ_PL (2)"/>
      <sheetName val="Client Ledger Report"/>
      <sheetName val="Job Not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>
        <row r="1">
          <cell r="B1">
            <v>1035658</v>
          </cell>
        </row>
        <row r="2">
          <cell r="B2">
            <v>12038</v>
          </cell>
        </row>
        <row r="3">
          <cell r="B3">
            <v>4127</v>
          </cell>
        </row>
        <row r="4">
          <cell r="B4" t="str">
            <v>Cohen D.</v>
          </cell>
        </row>
      </sheetData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dex"/>
      <sheetName val="CHK"/>
      <sheetName val="TB"/>
      <sheetName val="REP"/>
      <sheetName val="NYP"/>
      <sheetName val="CAJ"/>
      <sheetName val="JNL"/>
      <sheetName val="GL"/>
      <sheetName val="QUE"/>
      <sheetName val="Review Points"/>
      <sheetName val="A"/>
      <sheetName val="B"/>
      <sheetName val="E"/>
      <sheetName val="F"/>
      <sheetName val="H"/>
      <sheetName val="H1.2"/>
      <sheetName val="ICA Reco"/>
      <sheetName val="J2. Trust distrib"/>
      <sheetName val="J2.1 Tax Def Distns"/>
      <sheetName val="J3. CGT Summary"/>
      <sheetName val="RS"/>
      <sheetName val="R"/>
      <sheetName val="S"/>
      <sheetName val="U"/>
      <sheetName val="T"/>
      <sheetName val="Div 7A"/>
      <sheetName val="Dividend Income"/>
    </sheetNames>
    <sheetDataSet>
      <sheetData sheetId="0">
        <row r="1">
          <cell r="V1" t="str">
            <v>PC</v>
          </cell>
        </row>
        <row r="2">
          <cell r="V2" t="str">
            <v>MW</v>
          </cell>
        </row>
        <row r="3">
          <cell r="V3" t="str">
            <v>PH</v>
          </cell>
        </row>
        <row r="4">
          <cell r="V4" t="str">
            <v>NOT STARTED</v>
          </cell>
        </row>
        <row r="5">
          <cell r="V5" t="str">
            <v>IN PROGRESS</v>
          </cell>
        </row>
        <row r="6">
          <cell r="V6" t="str">
            <v>COMPLETED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ofit &amp; Loss"/>
      <sheetName val="Sheet1"/>
      <sheetName val="TB"/>
      <sheetName val="Tax Rec"/>
      <sheetName val="Depreciation"/>
      <sheetName val="BAS Rec "/>
      <sheetName val="Wages"/>
      <sheetName val="Scenarios"/>
      <sheetName val="Super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ofit &amp; Loss"/>
      <sheetName val="Sheet1"/>
      <sheetName val="TB"/>
      <sheetName val="Tax Rec"/>
      <sheetName val="Depreciation"/>
      <sheetName val="BAS Rec "/>
      <sheetName val="Wages"/>
      <sheetName val="Scenarios"/>
      <sheetName val="Super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lculator"/>
      <sheetName val="Rule of 78 Table"/>
      <sheetName val="Macros"/>
      <sheetName val="Sheet3"/>
      <sheetName val="Sheet4"/>
      <sheetName val="Sheet5"/>
      <sheetName val="Sheet6"/>
      <sheetName val="Sheet7"/>
      <sheetName val="Sheet8"/>
      <sheetName val="Sheet9"/>
      <sheetName val="Sheet10"/>
      <sheetName val="Sheet11"/>
      <sheetName val="Sheet12"/>
      <sheetName val="Sheet13"/>
      <sheetName val="Sheet14"/>
      <sheetName val="Sheet15"/>
      <sheetName val="Sheet16"/>
      <sheetName val="Module2"/>
      <sheetName val="INDEX"/>
      <sheetName val="1.1 Review notes"/>
      <sheetName val="Principle Activity"/>
      <sheetName val="ASIC"/>
      <sheetName val="1.3 Current year queries"/>
      <sheetName val="Note"/>
      <sheetName val="1.4 CF Issues"/>
      <sheetName val="1.5 Issues BF"/>
      <sheetName val="Entity Information "/>
      <sheetName val="Send To Client "/>
      <sheetName val="ATO Reports"/>
      <sheetName val="Distributions"/>
      <sheetName val="FBT"/>
      <sheetName val="2.4 TB"/>
      <sheetName val="Consolidated PL"/>
      <sheetName val="Consolidated BS &amp; ITR Disclosur"/>
      <sheetName val="Conso-BS 2012"/>
      <sheetName val="2013 Conso Tax Rec"/>
      <sheetName val="ATO report"/>
      <sheetName val="2.1 Fin Statements &amp; ITR"/>
      <sheetName val="Additions - FA"/>
      <sheetName val="3.1 Journals"/>
      <sheetName val="Client response"/>
      <sheetName val="MYOB GL"/>
      <sheetName val="Detail GL"/>
      <sheetName val="Client BS"/>
      <sheetName val="N.2"/>
      <sheetName val="Client P&amp;L"/>
      <sheetName val="Prior Year FS and Tax Return "/>
      <sheetName val="A"/>
      <sheetName val="A.1"/>
      <sheetName val="A.2"/>
      <sheetName val="B"/>
      <sheetName val="B.1"/>
      <sheetName val="B.2"/>
      <sheetName val="B.3"/>
      <sheetName val="B.4"/>
      <sheetName val="B.5"/>
      <sheetName val="B.6"/>
      <sheetName val="B.7"/>
      <sheetName val="C"/>
      <sheetName val="C.1"/>
      <sheetName val="C.2"/>
      <sheetName val="C.3"/>
      <sheetName val="D"/>
      <sheetName val="E"/>
      <sheetName val="E.1"/>
      <sheetName val="E.2"/>
      <sheetName val="E.3"/>
      <sheetName val="E.4"/>
      <sheetName val="E.5"/>
      <sheetName val="E.6"/>
      <sheetName val="E.7"/>
      <sheetName val="E.8"/>
      <sheetName val="E.9"/>
      <sheetName val="E.10"/>
      <sheetName val="E.11"/>
      <sheetName val="F"/>
      <sheetName val="G"/>
      <sheetName val="G.1"/>
      <sheetName val="G.2"/>
      <sheetName val="G.3"/>
      <sheetName val="G.4"/>
      <sheetName val="G.5"/>
      <sheetName val="G.6"/>
      <sheetName val="G.7"/>
      <sheetName val="G.8"/>
      <sheetName val="G.9"/>
      <sheetName val="G.10"/>
      <sheetName val="H"/>
      <sheetName val="H.1"/>
      <sheetName val="H.2"/>
      <sheetName val="H.3"/>
      <sheetName val="H.4"/>
      <sheetName val="H.5"/>
      <sheetName val="H.6"/>
      <sheetName val="H.7"/>
      <sheetName val="H.8"/>
      <sheetName val="H.9"/>
      <sheetName val="Finance Schedule"/>
      <sheetName val="HP.1"/>
      <sheetName val="HP.2"/>
      <sheetName val="HP.3"/>
      <sheetName val="Lease"/>
      <sheetName val="I"/>
      <sheetName val="I.2"/>
      <sheetName val="I.1"/>
      <sheetName val="J"/>
      <sheetName val="J.1"/>
      <sheetName val="J.2"/>
      <sheetName val="K"/>
      <sheetName val="L"/>
      <sheetName val="L.1"/>
      <sheetName val="M"/>
      <sheetName val="M.1"/>
      <sheetName val="M.2"/>
      <sheetName val="M.3"/>
      <sheetName val="N"/>
      <sheetName val="O"/>
      <sheetName val="P"/>
      <sheetName val="Q"/>
      <sheetName val="R"/>
      <sheetName val="S"/>
      <sheetName val="T"/>
      <sheetName val="U"/>
      <sheetName val="V"/>
      <sheetName val="W"/>
      <sheetName val="X"/>
      <sheetName val="Y"/>
      <sheetName val="Payroll Tax"/>
      <sheetName val="N.1"/>
      <sheetName val="Advertising"/>
      <sheetName val="Bad Debt"/>
      <sheetName val="Bank fee"/>
      <sheetName val="Interest"/>
      <sheetName val="Rent"/>
      <sheetName val="Traning"/>
      <sheetName val="Subscription"/>
      <sheetName val="Worker Comp"/>
      <sheetName val="Rate"/>
      <sheetName val="2.1 Fin Statements"/>
      <sheetName val="MYOB GL Summary"/>
      <sheetName val="MYOB GL Detail"/>
      <sheetName val="Client Data"/>
      <sheetName val="A.3"/>
      <sheetName val="B.1.1"/>
      <sheetName val="C.1 "/>
      <sheetName val="F.1"/>
      <sheetName val="F.2"/>
      <sheetName val="F.3"/>
      <sheetName val="Div 7a Calc"/>
      <sheetName val="Div 7a additional"/>
      <sheetName val="X.1"/>
      <sheetName val="Y.1"/>
      <sheetName val="Y.2"/>
      <sheetName val="Sheet1"/>
      <sheetName val="HP Subaru"/>
      <sheetName val="HP Volvo"/>
      <sheetName val="HP New Volvo"/>
      <sheetName val="HP New Volvo 1"/>
      <sheetName val="Video Light"/>
      <sheetName val="Stock adjustment"/>
      <sheetName val="Sheet2"/>
      <sheetName val=""/>
    </sheetNames>
    <sheetDataSet>
      <sheetData sheetId="0">
        <row r="2">
          <cell r="B2">
            <v>0</v>
          </cell>
        </row>
      </sheetData>
      <sheetData sheetId="1" refreshError="1">
        <row r="2">
          <cell r="B2">
            <v>60</v>
          </cell>
          <cell r="C2">
            <v>59</v>
          </cell>
          <cell r="D2">
            <v>58</v>
          </cell>
          <cell r="E2">
            <v>57</v>
          </cell>
          <cell r="F2">
            <v>56</v>
          </cell>
          <cell r="G2">
            <v>55</v>
          </cell>
          <cell r="H2">
            <v>54</v>
          </cell>
          <cell r="I2">
            <v>53</v>
          </cell>
          <cell r="J2">
            <v>52</v>
          </cell>
          <cell r="K2">
            <v>51</v>
          </cell>
          <cell r="L2">
            <v>50</v>
          </cell>
          <cell r="M2">
            <v>49</v>
          </cell>
          <cell r="N2">
            <v>48</v>
          </cell>
          <cell r="O2">
            <v>47</v>
          </cell>
          <cell r="P2">
            <v>46</v>
          </cell>
          <cell r="Q2">
            <v>45</v>
          </cell>
          <cell r="R2">
            <v>44</v>
          </cell>
          <cell r="S2">
            <v>43</v>
          </cell>
          <cell r="T2">
            <v>42</v>
          </cell>
          <cell r="U2">
            <v>41</v>
          </cell>
          <cell r="V2">
            <v>40</v>
          </cell>
          <cell r="W2">
            <v>39</v>
          </cell>
          <cell r="X2">
            <v>38</v>
          </cell>
          <cell r="Y2">
            <v>37</v>
          </cell>
          <cell r="Z2">
            <v>36</v>
          </cell>
          <cell r="AA2">
            <v>35</v>
          </cell>
          <cell r="AB2">
            <v>34</v>
          </cell>
          <cell r="AC2">
            <v>33</v>
          </cell>
          <cell r="AD2">
            <v>32</v>
          </cell>
          <cell r="AE2">
            <v>31</v>
          </cell>
          <cell r="AF2">
            <v>30</v>
          </cell>
          <cell r="AG2">
            <v>29</v>
          </cell>
          <cell r="AH2">
            <v>28</v>
          </cell>
          <cell r="AI2">
            <v>27</v>
          </cell>
          <cell r="AJ2">
            <v>26</v>
          </cell>
          <cell r="AK2">
            <v>25</v>
          </cell>
          <cell r="AL2">
            <v>24</v>
          </cell>
          <cell r="AM2">
            <v>23</v>
          </cell>
          <cell r="AN2">
            <v>22</v>
          </cell>
          <cell r="AO2">
            <v>21</v>
          </cell>
          <cell r="AP2">
            <v>20</v>
          </cell>
          <cell r="AQ2">
            <v>19</v>
          </cell>
          <cell r="AR2">
            <v>18</v>
          </cell>
          <cell r="AS2">
            <v>17</v>
          </cell>
          <cell r="AT2">
            <v>16</v>
          </cell>
          <cell r="AU2">
            <v>15</v>
          </cell>
          <cell r="AV2">
            <v>14</v>
          </cell>
          <cell r="AW2">
            <v>13</v>
          </cell>
          <cell r="AX2">
            <v>12</v>
          </cell>
        </row>
        <row r="3">
          <cell r="B3">
            <v>3.279E-2</v>
          </cell>
          <cell r="C3">
            <v>3.3329999999999999E-2</v>
          </cell>
          <cell r="D3">
            <v>3.39E-2</v>
          </cell>
          <cell r="E3">
            <v>3.4479999999999997E-2</v>
          </cell>
          <cell r="F3">
            <v>3.5090000000000003E-2</v>
          </cell>
          <cell r="G3">
            <v>3.5709999999999999E-2</v>
          </cell>
          <cell r="H3">
            <v>3.6360000000000003E-2</v>
          </cell>
          <cell r="I3">
            <v>3.7039999999999997E-2</v>
          </cell>
          <cell r="J3">
            <v>3.7740000000000003E-2</v>
          </cell>
          <cell r="K3">
            <v>3.8460000000000001E-2</v>
          </cell>
          <cell r="L3">
            <v>3.9219999999999998E-2</v>
          </cell>
          <cell r="M3">
            <v>0.04</v>
          </cell>
          <cell r="N3">
            <v>4.0820000000000002E-2</v>
          </cell>
          <cell r="O3">
            <v>4.1669999999999999E-2</v>
          </cell>
          <cell r="P3">
            <v>4.2549999999999998E-2</v>
          </cell>
          <cell r="Q3">
            <v>4.3479999999999998E-2</v>
          </cell>
          <cell r="R3">
            <v>4.444E-2</v>
          </cell>
          <cell r="S3">
            <v>4.5449999999999997E-2</v>
          </cell>
          <cell r="T3">
            <v>4.6510000000000003E-2</v>
          </cell>
          <cell r="U3">
            <v>4.7620000000000003E-2</v>
          </cell>
          <cell r="V3">
            <v>4.8779999999999997E-2</v>
          </cell>
          <cell r="W3">
            <v>0.05</v>
          </cell>
          <cell r="X3">
            <v>5.1279999999999999E-2</v>
          </cell>
          <cell r="Y3">
            <v>5.2630000000000003E-2</v>
          </cell>
          <cell r="Z3">
            <v>5.4050000000000001E-2</v>
          </cell>
          <cell r="AA3">
            <v>5.5559999999999998E-2</v>
          </cell>
          <cell r="AB3">
            <v>5.7140000000000003E-2</v>
          </cell>
          <cell r="AC3">
            <v>5.8819999999999997E-2</v>
          </cell>
          <cell r="AD3">
            <v>6.0609999999999997E-2</v>
          </cell>
          <cell r="AE3">
            <v>6.25E-2</v>
          </cell>
          <cell r="AF3">
            <v>6.4519999999999994E-2</v>
          </cell>
          <cell r="AG3">
            <v>6.6669999999999993E-2</v>
          </cell>
          <cell r="AH3">
            <v>6.8970000000000004E-2</v>
          </cell>
          <cell r="AI3">
            <v>7.1429999999999993E-2</v>
          </cell>
          <cell r="AJ3">
            <v>7.4069999999999997E-2</v>
          </cell>
          <cell r="AK3">
            <v>7.6920000000000002E-2</v>
          </cell>
          <cell r="AL3">
            <v>0.08</v>
          </cell>
          <cell r="AM3">
            <v>8.3330000000000001E-2</v>
          </cell>
          <cell r="AN3">
            <v>8.6959999999999996E-2</v>
          </cell>
          <cell r="AO3">
            <v>9.0910000000000005E-2</v>
          </cell>
          <cell r="AP3">
            <v>9.5240000000000005E-2</v>
          </cell>
          <cell r="AQ3">
            <v>0.1</v>
          </cell>
          <cell r="AR3">
            <v>0.10526000000000001</v>
          </cell>
          <cell r="AS3">
            <v>0.11111</v>
          </cell>
          <cell r="AT3">
            <v>0.11765</v>
          </cell>
          <cell r="AU3">
            <v>0.125</v>
          </cell>
          <cell r="AV3">
            <v>0.13333</v>
          </cell>
          <cell r="AW3">
            <v>0.14285999999999999</v>
          </cell>
          <cell r="AX3">
            <v>0.15384999999999999</v>
          </cell>
        </row>
        <row r="4">
          <cell r="B4">
            <v>6.5030000000000004E-2</v>
          </cell>
          <cell r="C4">
            <v>6.6100000000000006E-2</v>
          </cell>
          <cell r="D4">
            <v>6.7210000000000006E-2</v>
          </cell>
          <cell r="E4">
            <v>6.8360000000000004E-2</v>
          </cell>
          <cell r="F4">
            <v>6.9550000000000001E-2</v>
          </cell>
          <cell r="G4">
            <v>7.0779999999999996E-2</v>
          </cell>
          <cell r="H4">
            <v>7.2050000000000003E-2</v>
          </cell>
          <cell r="I4">
            <v>7.3380000000000001E-2</v>
          </cell>
          <cell r="J4">
            <v>7.4749999999999997E-2</v>
          </cell>
          <cell r="K4">
            <v>7.6170000000000002E-2</v>
          </cell>
          <cell r="L4">
            <v>7.7649999999999997E-2</v>
          </cell>
          <cell r="M4">
            <v>7.918E-2</v>
          </cell>
          <cell r="N4">
            <v>8.0780000000000005E-2</v>
          </cell>
          <cell r="O4">
            <v>8.2449999999999996E-2</v>
          </cell>
          <cell r="P4">
            <v>8.4180000000000005E-2</v>
          </cell>
          <cell r="Q4">
            <v>8.5989999999999997E-2</v>
          </cell>
          <cell r="R4">
            <v>8.788E-2</v>
          </cell>
          <cell r="S4">
            <v>8.9849999999999999E-2</v>
          </cell>
          <cell r="T4">
            <v>9.1920000000000002E-2</v>
          </cell>
          <cell r="U4">
            <v>9.4079999999999997E-2</v>
          </cell>
          <cell r="V4">
            <v>9.6339999999999995E-2</v>
          </cell>
          <cell r="W4">
            <v>9.8720000000000002E-2</v>
          </cell>
          <cell r="X4">
            <v>0.10120999999999999</v>
          </cell>
          <cell r="Y4">
            <v>0.10384</v>
          </cell>
          <cell r="Z4">
            <v>0.10661</v>
          </cell>
          <cell r="AA4">
            <v>0.10952000000000001</v>
          </cell>
          <cell r="AB4">
            <v>0.11261</v>
          </cell>
          <cell r="AC4">
            <v>0.11586</v>
          </cell>
          <cell r="AD4">
            <v>0.11932</v>
          </cell>
          <cell r="AE4">
            <v>0.12298000000000001</v>
          </cell>
          <cell r="AF4">
            <v>0.12687999999999999</v>
          </cell>
          <cell r="AG4">
            <v>0.13103000000000001</v>
          </cell>
          <cell r="AH4">
            <v>0.13547000000000001</v>
          </cell>
          <cell r="AI4">
            <v>0.14021</v>
          </cell>
          <cell r="AJ4">
            <v>0.14530000000000001</v>
          </cell>
          <cell r="AK4">
            <v>0.15076999999999999</v>
          </cell>
          <cell r="AL4">
            <v>0.15667</v>
          </cell>
          <cell r="AM4">
            <v>0.16303999999999999</v>
          </cell>
          <cell r="AN4">
            <v>0.16996</v>
          </cell>
          <cell r="AO4">
            <v>0.17749000000000001</v>
          </cell>
          <cell r="AP4">
            <v>0.18570999999999999</v>
          </cell>
          <cell r="AQ4">
            <v>0.19474</v>
          </cell>
          <cell r="AR4">
            <v>0.20468</v>
          </cell>
          <cell r="AS4">
            <v>0.21568999999999999</v>
          </cell>
          <cell r="AT4">
            <v>0.22794</v>
          </cell>
          <cell r="AU4">
            <v>0.24167</v>
          </cell>
          <cell r="AV4">
            <v>0.25713999999999998</v>
          </cell>
          <cell r="AW4">
            <v>0.27472999999999997</v>
          </cell>
          <cell r="AX4">
            <v>0.29487000000000002</v>
          </cell>
        </row>
        <row r="5">
          <cell r="B5">
            <v>9.672E-2</v>
          </cell>
          <cell r="C5">
            <v>9.8309999999999995E-2</v>
          </cell>
          <cell r="D5">
            <v>9.9940000000000001E-2</v>
          </cell>
          <cell r="E5">
            <v>0.10163</v>
          </cell>
          <cell r="F5">
            <v>0.10338</v>
          </cell>
          <cell r="G5">
            <v>0.10519000000000001</v>
          </cell>
          <cell r="H5">
            <v>0.10707</v>
          </cell>
          <cell r="I5">
            <v>0.10901</v>
          </cell>
          <cell r="J5">
            <v>0.11103</v>
          </cell>
          <cell r="K5">
            <v>0.11312</v>
          </cell>
          <cell r="L5">
            <v>0.11529</v>
          </cell>
          <cell r="M5">
            <v>0.11755</v>
          </cell>
          <cell r="N5">
            <v>0.11990000000000001</v>
          </cell>
          <cell r="O5">
            <v>0.12234</v>
          </cell>
          <cell r="P5">
            <v>0.12488</v>
          </cell>
          <cell r="Q5">
            <v>0.12753999999999999</v>
          </cell>
          <cell r="R5">
            <v>0.1303</v>
          </cell>
          <cell r="S5">
            <v>0.13319</v>
          </cell>
          <cell r="T5">
            <v>0.13621</v>
          </cell>
          <cell r="U5">
            <v>0.13936999999999999</v>
          </cell>
          <cell r="V5">
            <v>0.14268</v>
          </cell>
          <cell r="W5">
            <v>0.14615</v>
          </cell>
          <cell r="X5">
            <v>0.14979999999999999</v>
          </cell>
          <cell r="Y5">
            <v>0.15362999999999999</v>
          </cell>
          <cell r="Z5">
            <v>0.15765999999999999</v>
          </cell>
          <cell r="AA5">
            <v>0.16189999999999999</v>
          </cell>
          <cell r="AB5">
            <v>0.16639000000000001</v>
          </cell>
          <cell r="AC5">
            <v>0.17111999999999999</v>
          </cell>
          <cell r="AD5">
            <v>0.17613999999999999</v>
          </cell>
          <cell r="AE5">
            <v>0.18145</v>
          </cell>
          <cell r="AF5">
            <v>0.18709999999999999</v>
          </cell>
          <cell r="AG5">
            <v>0.19309999999999999</v>
          </cell>
          <cell r="AH5">
            <v>0.19950999999999999</v>
          </cell>
          <cell r="AI5">
            <v>0.20635000000000001</v>
          </cell>
          <cell r="AJ5">
            <v>0.21368000000000001</v>
          </cell>
          <cell r="AK5">
            <v>0.22153999999999999</v>
          </cell>
          <cell r="AL5">
            <v>0.23</v>
          </cell>
          <cell r="AM5">
            <v>0.23913000000000001</v>
          </cell>
          <cell r="AN5">
            <v>0.24901000000000001</v>
          </cell>
          <cell r="AO5">
            <v>0.25974000000000003</v>
          </cell>
          <cell r="AP5">
            <v>0.27143</v>
          </cell>
          <cell r="AQ5">
            <v>0.28421000000000002</v>
          </cell>
          <cell r="AR5">
            <v>0.29825000000000002</v>
          </cell>
          <cell r="AS5">
            <v>0.31373000000000001</v>
          </cell>
          <cell r="AT5">
            <v>0.33088000000000001</v>
          </cell>
          <cell r="AU5">
            <v>0.35</v>
          </cell>
          <cell r="AV5">
            <v>0.37142999999999998</v>
          </cell>
          <cell r="AW5">
            <v>0.39560000000000001</v>
          </cell>
          <cell r="AX5">
            <v>0.42308000000000001</v>
          </cell>
        </row>
        <row r="6">
          <cell r="B6">
            <v>0.12787000000000001</v>
          </cell>
          <cell r="C6">
            <v>0.12994</v>
          </cell>
          <cell r="D6">
            <v>0.13209000000000001</v>
          </cell>
          <cell r="E6">
            <v>0.1343</v>
          </cell>
          <cell r="F6">
            <v>0.13658999999999999</v>
          </cell>
          <cell r="G6">
            <v>0.13896</v>
          </cell>
          <cell r="H6">
            <v>0.14141000000000001</v>
          </cell>
          <cell r="I6">
            <v>0.14396</v>
          </cell>
          <cell r="J6">
            <v>0.14659</v>
          </cell>
          <cell r="K6">
            <v>0.14932000000000001</v>
          </cell>
          <cell r="L6">
            <v>0.15215999999999999</v>
          </cell>
          <cell r="M6">
            <v>0.15509999999999999</v>
          </cell>
          <cell r="N6">
            <v>0.15816</v>
          </cell>
          <cell r="O6">
            <v>0.16134999999999999</v>
          </cell>
          <cell r="P6">
            <v>0.16466</v>
          </cell>
          <cell r="Q6">
            <v>0.16811999999999999</v>
          </cell>
          <cell r="R6">
            <v>0.17172000000000001</v>
          </cell>
          <cell r="S6">
            <v>0.17548</v>
          </cell>
          <cell r="T6">
            <v>0.1794</v>
          </cell>
          <cell r="U6">
            <v>0.18351000000000001</v>
          </cell>
          <cell r="V6">
            <v>0.18779999999999999</v>
          </cell>
          <cell r="W6">
            <v>0.19231000000000001</v>
          </cell>
          <cell r="X6">
            <v>0.19703000000000001</v>
          </cell>
          <cell r="Y6">
            <v>0.20199</v>
          </cell>
          <cell r="Z6">
            <v>0.20721000000000001</v>
          </cell>
          <cell r="AA6">
            <v>0.2127</v>
          </cell>
          <cell r="AB6">
            <v>0.21848999999999999</v>
          </cell>
          <cell r="AC6">
            <v>0.22459999999999999</v>
          </cell>
          <cell r="AD6">
            <v>0.23105999999999999</v>
          </cell>
          <cell r="AE6">
            <v>0.2379</v>
          </cell>
          <cell r="AF6">
            <v>0.24515999999999999</v>
          </cell>
          <cell r="AG6">
            <v>0.25286999999999998</v>
          </cell>
          <cell r="AH6">
            <v>0.26107999999999998</v>
          </cell>
          <cell r="AI6">
            <v>0.26984000000000002</v>
          </cell>
          <cell r="AJ6">
            <v>0.2792</v>
          </cell>
          <cell r="AK6">
            <v>0.28922999999999999</v>
          </cell>
          <cell r="AL6">
            <v>0.3</v>
          </cell>
          <cell r="AM6">
            <v>0.31158999999999998</v>
          </cell>
          <cell r="AN6">
            <v>0.32411000000000001</v>
          </cell>
          <cell r="AO6">
            <v>0.33766000000000002</v>
          </cell>
          <cell r="AP6">
            <v>0.35238000000000003</v>
          </cell>
          <cell r="AQ6">
            <v>0.36842000000000003</v>
          </cell>
          <cell r="AR6">
            <v>0.38596000000000003</v>
          </cell>
          <cell r="AS6">
            <v>0.40522999999999998</v>
          </cell>
          <cell r="AT6">
            <v>0.42647000000000002</v>
          </cell>
          <cell r="AU6">
            <v>0.45</v>
          </cell>
          <cell r="AV6">
            <v>0.47619</v>
          </cell>
          <cell r="AW6">
            <v>0.50548999999999999</v>
          </cell>
          <cell r="AX6">
            <v>0.53846000000000005</v>
          </cell>
        </row>
        <row r="7">
          <cell r="B7">
            <v>0.15847</v>
          </cell>
          <cell r="C7">
            <v>0.16102</v>
          </cell>
          <cell r="D7">
            <v>0.16364999999999999</v>
          </cell>
          <cell r="E7">
            <v>0.16636000000000001</v>
          </cell>
          <cell r="F7">
            <v>0.16916999999999999</v>
          </cell>
          <cell r="G7">
            <v>0.17208000000000001</v>
          </cell>
          <cell r="H7">
            <v>0.17508000000000001</v>
          </cell>
          <cell r="I7">
            <v>0.1782</v>
          </cell>
          <cell r="J7">
            <v>0.18142</v>
          </cell>
          <cell r="K7">
            <v>0.18476999999999999</v>
          </cell>
          <cell r="L7">
            <v>0.18823999999999999</v>
          </cell>
          <cell r="M7">
            <v>0.19184000000000001</v>
          </cell>
          <cell r="N7">
            <v>0.19558</v>
          </cell>
          <cell r="O7">
            <v>0.19947000000000001</v>
          </cell>
          <cell r="P7">
            <v>0.20352000000000001</v>
          </cell>
          <cell r="Q7">
            <v>0.20773</v>
          </cell>
          <cell r="R7">
            <v>0.21212</v>
          </cell>
          <cell r="S7">
            <v>0.2167</v>
          </cell>
          <cell r="T7">
            <v>0.22148000000000001</v>
          </cell>
          <cell r="U7">
            <v>0.22647999999999999</v>
          </cell>
          <cell r="V7">
            <v>0.23171</v>
          </cell>
          <cell r="W7">
            <v>0.23718</v>
          </cell>
          <cell r="X7">
            <v>0.24290999999999999</v>
          </cell>
          <cell r="Y7">
            <v>0.24893000000000001</v>
          </cell>
          <cell r="Z7">
            <v>0.25525999999999999</v>
          </cell>
          <cell r="AA7">
            <v>0.26190000000000002</v>
          </cell>
          <cell r="AB7">
            <v>0.26890999999999998</v>
          </cell>
          <cell r="AC7">
            <v>0.27628999999999998</v>
          </cell>
          <cell r="AD7">
            <v>0.28409000000000001</v>
          </cell>
          <cell r="AE7">
            <v>0.29233999999999999</v>
          </cell>
          <cell r="AF7">
            <v>0.30108000000000001</v>
          </cell>
          <cell r="AG7">
            <v>0.31034</v>
          </cell>
          <cell r="AH7">
            <v>0.32019999999999998</v>
          </cell>
          <cell r="AI7">
            <v>0.33068999999999998</v>
          </cell>
          <cell r="AJ7">
            <v>0.34188000000000002</v>
          </cell>
          <cell r="AK7">
            <v>0.35385</v>
          </cell>
          <cell r="AL7">
            <v>0.36667</v>
          </cell>
          <cell r="AM7">
            <v>0.38042999999999999</v>
          </cell>
          <cell r="AN7">
            <v>0.39526</v>
          </cell>
          <cell r="AO7">
            <v>0.41126000000000001</v>
          </cell>
          <cell r="AP7">
            <v>0.42857000000000001</v>
          </cell>
          <cell r="AQ7">
            <v>0.44736999999999999</v>
          </cell>
          <cell r="AR7">
            <v>0.46783999999999998</v>
          </cell>
          <cell r="AS7">
            <v>0.49020000000000002</v>
          </cell>
          <cell r="AT7">
            <v>0.51471</v>
          </cell>
          <cell r="AU7">
            <v>0.54166999999999998</v>
          </cell>
          <cell r="AV7">
            <v>0.57142999999999999</v>
          </cell>
          <cell r="AW7">
            <v>0.60440000000000005</v>
          </cell>
          <cell r="AX7">
            <v>0.64102999999999999</v>
          </cell>
        </row>
        <row r="8">
          <cell r="B8">
            <v>0.18851999999999999</v>
          </cell>
          <cell r="C8">
            <v>0.19153000000000001</v>
          </cell>
          <cell r="D8">
            <v>0.19461999999999999</v>
          </cell>
          <cell r="E8">
            <v>0.19782</v>
          </cell>
          <cell r="F8">
            <v>0.20113</v>
          </cell>
          <cell r="G8">
            <v>0.20455000000000001</v>
          </cell>
          <cell r="H8">
            <v>0.20807999999999999</v>
          </cell>
          <cell r="I8">
            <v>0.21174000000000001</v>
          </cell>
          <cell r="J8">
            <v>0.21553</v>
          </cell>
          <cell r="K8">
            <v>0.21945999999999999</v>
          </cell>
          <cell r="L8">
            <v>0.22353000000000001</v>
          </cell>
          <cell r="M8">
            <v>0.22775999999999999</v>
          </cell>
          <cell r="N8">
            <v>0.23214000000000001</v>
          </cell>
          <cell r="O8">
            <v>0.23669999999999999</v>
          </cell>
          <cell r="P8">
            <v>0.24143999999999999</v>
          </cell>
          <cell r="Q8">
            <v>0.24637999999999999</v>
          </cell>
          <cell r="R8">
            <v>0.25152000000000002</v>
          </cell>
          <cell r="S8">
            <v>0.25686999999999999</v>
          </cell>
          <cell r="T8">
            <v>0.26246000000000003</v>
          </cell>
          <cell r="U8">
            <v>0.26828999999999997</v>
          </cell>
          <cell r="V8">
            <v>0.27439000000000002</v>
          </cell>
          <cell r="W8">
            <v>0.28077000000000002</v>
          </cell>
          <cell r="X8">
            <v>0.28744999999999998</v>
          </cell>
          <cell r="Y8">
            <v>0.29444999999999999</v>
          </cell>
          <cell r="Z8">
            <v>0.30180000000000001</v>
          </cell>
          <cell r="AA8">
            <v>0.30952000000000002</v>
          </cell>
          <cell r="AB8">
            <v>0.31764999999999999</v>
          </cell>
          <cell r="AC8">
            <v>0.32619999999999999</v>
          </cell>
          <cell r="AD8">
            <v>0.33522999999999997</v>
          </cell>
          <cell r="AE8">
            <v>0.34476000000000001</v>
          </cell>
          <cell r="AF8">
            <v>0.35483999999999999</v>
          </cell>
          <cell r="AG8">
            <v>0.36552000000000001</v>
          </cell>
          <cell r="AH8">
            <v>0.37685000000000002</v>
          </cell>
          <cell r="AI8">
            <v>0.38889000000000001</v>
          </cell>
          <cell r="AJ8">
            <v>0.40171000000000001</v>
          </cell>
          <cell r="AK8">
            <v>0.41538000000000003</v>
          </cell>
          <cell r="AL8">
            <v>0.43</v>
          </cell>
          <cell r="AM8">
            <v>0.44564999999999999</v>
          </cell>
          <cell r="AN8">
            <v>0.46245000000000003</v>
          </cell>
          <cell r="AO8">
            <v>0.48052</v>
          </cell>
          <cell r="AP8">
            <v>0.5</v>
          </cell>
          <cell r="AQ8">
            <v>0.52105000000000001</v>
          </cell>
          <cell r="AR8">
            <v>0.54386000000000001</v>
          </cell>
          <cell r="AS8">
            <v>0.56862999999999997</v>
          </cell>
          <cell r="AT8">
            <v>0.59558999999999995</v>
          </cell>
          <cell r="AU8">
            <v>0.625</v>
          </cell>
          <cell r="AV8">
            <v>0.65713999999999995</v>
          </cell>
          <cell r="AW8">
            <v>0.69230999999999998</v>
          </cell>
          <cell r="AX8">
            <v>0.73077000000000003</v>
          </cell>
        </row>
        <row r="9">
          <cell r="B9">
            <v>0.21803</v>
          </cell>
          <cell r="C9">
            <v>0.22147</v>
          </cell>
          <cell r="D9">
            <v>0.22500999999999999</v>
          </cell>
          <cell r="E9">
            <v>0.22867999999999999</v>
          </cell>
          <cell r="F9">
            <v>0.23246</v>
          </cell>
          <cell r="G9">
            <v>0.23635999999999999</v>
          </cell>
          <cell r="H9">
            <v>0.2404</v>
          </cell>
          <cell r="I9">
            <v>0.24457999999999999</v>
          </cell>
          <cell r="J9">
            <v>0.24890999999999999</v>
          </cell>
          <cell r="K9">
            <v>0.25339</v>
          </cell>
          <cell r="L9">
            <v>0.25803999999999999</v>
          </cell>
          <cell r="M9">
            <v>0.26285999999999998</v>
          </cell>
          <cell r="N9">
            <v>0.26785999999999999</v>
          </cell>
          <cell r="O9">
            <v>0.27305000000000001</v>
          </cell>
          <cell r="P9">
            <v>0.27844999999999998</v>
          </cell>
          <cell r="Q9">
            <v>0.28405999999999998</v>
          </cell>
          <cell r="R9">
            <v>0.28989999999999999</v>
          </cell>
          <cell r="S9">
            <v>0.29598000000000002</v>
          </cell>
          <cell r="T9">
            <v>0.30232999999999999</v>
          </cell>
          <cell r="U9">
            <v>0.30893999999999999</v>
          </cell>
          <cell r="V9">
            <v>0.31585000000000002</v>
          </cell>
          <cell r="W9">
            <v>0.32307999999999998</v>
          </cell>
          <cell r="X9">
            <v>0.33062999999999998</v>
          </cell>
          <cell r="Y9">
            <v>0.33855000000000002</v>
          </cell>
          <cell r="Z9">
            <v>0.34684999999999999</v>
          </cell>
          <cell r="AA9">
            <v>0.35555999999999999</v>
          </cell>
          <cell r="AB9">
            <v>0.36470999999999998</v>
          </cell>
          <cell r="AC9">
            <v>0.37433</v>
          </cell>
          <cell r="AD9">
            <v>0.38446999999999998</v>
          </cell>
          <cell r="AE9">
            <v>0.39516000000000001</v>
          </cell>
          <cell r="AF9">
            <v>0.40644999999999998</v>
          </cell>
          <cell r="AG9">
            <v>0.41838999999999998</v>
          </cell>
          <cell r="AH9">
            <v>0.43103000000000002</v>
          </cell>
          <cell r="AI9">
            <v>0.44444</v>
          </cell>
          <cell r="AJ9">
            <v>0.45868999999999999</v>
          </cell>
          <cell r="AK9">
            <v>0.47384999999999999</v>
          </cell>
          <cell r="AL9">
            <v>0.49</v>
          </cell>
          <cell r="AM9">
            <v>0.50724999999999998</v>
          </cell>
          <cell r="AN9">
            <v>0.52568999999999999</v>
          </cell>
          <cell r="AO9">
            <v>0.54544999999999999</v>
          </cell>
          <cell r="AP9">
            <v>0.56667000000000001</v>
          </cell>
          <cell r="AQ9">
            <v>0.58947000000000005</v>
          </cell>
          <cell r="AR9">
            <v>0.61404000000000003</v>
          </cell>
          <cell r="AS9">
            <v>0.64051999999999998</v>
          </cell>
          <cell r="AT9">
            <v>0.66912000000000005</v>
          </cell>
          <cell r="AU9">
            <v>0.7</v>
          </cell>
          <cell r="AV9">
            <v>0.73333000000000004</v>
          </cell>
          <cell r="AW9">
            <v>0.76922999999999997</v>
          </cell>
          <cell r="AX9">
            <v>0.80769000000000002</v>
          </cell>
        </row>
        <row r="10">
          <cell r="B10">
            <v>0.24698999999999999</v>
          </cell>
          <cell r="C10">
            <v>0.25085000000000002</v>
          </cell>
          <cell r="D10">
            <v>0.25481999999999999</v>
          </cell>
          <cell r="E10">
            <v>0.25891999999999998</v>
          </cell>
          <cell r="F10">
            <v>0.26316000000000001</v>
          </cell>
          <cell r="G10">
            <v>0.26752999999999999</v>
          </cell>
          <cell r="H10">
            <v>0.27205000000000001</v>
          </cell>
          <cell r="I10">
            <v>0.27672999999999998</v>
          </cell>
          <cell r="J10">
            <v>0.28156999999999999</v>
          </cell>
          <cell r="K10">
            <v>0.28658</v>
          </cell>
          <cell r="L10">
            <v>0.29176000000000002</v>
          </cell>
          <cell r="M10">
            <v>0.29714000000000002</v>
          </cell>
          <cell r="N10">
            <v>0.30271999999999999</v>
          </cell>
          <cell r="O10">
            <v>0.30851000000000001</v>
          </cell>
          <cell r="P10">
            <v>0.31452000000000002</v>
          </cell>
          <cell r="Q10">
            <v>0.32077</v>
          </cell>
          <cell r="R10">
            <v>0.32727000000000001</v>
          </cell>
          <cell r="S10">
            <v>0.33404</v>
          </cell>
          <cell r="T10">
            <v>0.34109</v>
          </cell>
          <cell r="U10">
            <v>0.34843000000000002</v>
          </cell>
          <cell r="V10">
            <v>0.35610000000000003</v>
          </cell>
          <cell r="W10">
            <v>0.36409999999999998</v>
          </cell>
          <cell r="X10">
            <v>0.37247000000000002</v>
          </cell>
          <cell r="Y10">
            <v>0.38122</v>
          </cell>
          <cell r="Z10">
            <v>0.39039000000000001</v>
          </cell>
          <cell r="AA10">
            <v>0.4</v>
          </cell>
          <cell r="AB10">
            <v>0.41008</v>
          </cell>
          <cell r="AC10">
            <v>0.42068</v>
          </cell>
          <cell r="AD10">
            <v>0.43181999999999998</v>
          </cell>
          <cell r="AE10">
            <v>0.44355</v>
          </cell>
          <cell r="AF10">
            <v>0.45590999999999998</v>
          </cell>
          <cell r="AG10">
            <v>0.46897</v>
          </cell>
          <cell r="AH10">
            <v>0.48276000000000002</v>
          </cell>
          <cell r="AI10">
            <v>0.49735000000000001</v>
          </cell>
          <cell r="AJ10">
            <v>0.51282000000000005</v>
          </cell>
          <cell r="AK10">
            <v>0.52922999999999998</v>
          </cell>
          <cell r="AL10">
            <v>0.54666999999999999</v>
          </cell>
          <cell r="AM10">
            <v>0.56521999999999994</v>
          </cell>
          <cell r="AN10">
            <v>0.58498000000000006</v>
          </cell>
          <cell r="AO10">
            <v>0.60606000000000004</v>
          </cell>
          <cell r="AP10">
            <v>0.62856999999999996</v>
          </cell>
          <cell r="AQ10">
            <v>0.65263000000000004</v>
          </cell>
          <cell r="AR10">
            <v>0.67835999999999996</v>
          </cell>
          <cell r="AS10">
            <v>0.70587999999999995</v>
          </cell>
          <cell r="AT10">
            <v>0.73529</v>
          </cell>
          <cell r="AU10">
            <v>0.76666999999999996</v>
          </cell>
          <cell r="AV10">
            <v>0.8</v>
          </cell>
          <cell r="AW10">
            <v>0.83516000000000001</v>
          </cell>
          <cell r="AX10">
            <v>0.87178999999999995</v>
          </cell>
        </row>
        <row r="11">
          <cell r="B11">
            <v>0.27540999999999999</v>
          </cell>
          <cell r="C11">
            <v>0.27966000000000002</v>
          </cell>
          <cell r="D11">
            <v>0.28404000000000001</v>
          </cell>
          <cell r="E11">
            <v>0.28856999999999999</v>
          </cell>
          <cell r="F11">
            <v>0.29322999999999999</v>
          </cell>
          <cell r="G11">
            <v>0.29804999999999998</v>
          </cell>
          <cell r="H11">
            <v>0.30303000000000002</v>
          </cell>
          <cell r="I11">
            <v>0.30818000000000001</v>
          </cell>
          <cell r="J11">
            <v>0.3135</v>
          </cell>
          <cell r="K11">
            <v>0.31900000000000001</v>
          </cell>
          <cell r="L11">
            <v>0.32471</v>
          </cell>
          <cell r="M11">
            <v>0.33061000000000001</v>
          </cell>
          <cell r="N11">
            <v>0.33672999999999997</v>
          </cell>
          <cell r="O11">
            <v>0.34309000000000001</v>
          </cell>
          <cell r="P11">
            <v>0.34967999999999999</v>
          </cell>
          <cell r="Q11">
            <v>0.35652</v>
          </cell>
          <cell r="R11">
            <v>0.36364000000000002</v>
          </cell>
          <cell r="S11">
            <v>0.37103999999999998</v>
          </cell>
          <cell r="T11">
            <v>0.37874000000000002</v>
          </cell>
          <cell r="U11">
            <v>0.38675999999999999</v>
          </cell>
          <cell r="V11">
            <v>0.39512000000000003</v>
          </cell>
          <cell r="W11">
            <v>0.40384999999999999</v>
          </cell>
          <cell r="X11">
            <v>0.41295999999999999</v>
          </cell>
          <cell r="Y11">
            <v>0.42248000000000002</v>
          </cell>
          <cell r="Z11">
            <v>0.43242999999999998</v>
          </cell>
          <cell r="AA11">
            <v>0.44285999999999998</v>
          </cell>
          <cell r="AB11">
            <v>0.45378000000000002</v>
          </cell>
          <cell r="AC11">
            <v>0.46523999999999999</v>
          </cell>
          <cell r="AD11">
            <v>0.47727000000000003</v>
          </cell>
          <cell r="AE11">
            <v>0.48992000000000002</v>
          </cell>
          <cell r="AF11">
            <v>0.50322999999999996</v>
          </cell>
          <cell r="AG11">
            <v>0.51724000000000003</v>
          </cell>
          <cell r="AH11">
            <v>0.53202000000000005</v>
          </cell>
          <cell r="AI11">
            <v>0.54762</v>
          </cell>
          <cell r="AJ11">
            <v>0.56410000000000005</v>
          </cell>
          <cell r="AK11">
            <v>0.58153999999999995</v>
          </cell>
          <cell r="AL11">
            <v>0.6</v>
          </cell>
          <cell r="AM11">
            <v>0.61956999999999995</v>
          </cell>
          <cell r="AN11">
            <v>0.64032</v>
          </cell>
          <cell r="AO11">
            <v>0.66234000000000004</v>
          </cell>
          <cell r="AP11">
            <v>0.68571000000000004</v>
          </cell>
          <cell r="AQ11">
            <v>0.71052999999999999</v>
          </cell>
          <cell r="AR11">
            <v>0.73684000000000005</v>
          </cell>
          <cell r="AS11">
            <v>0.76471</v>
          </cell>
          <cell r="AT11">
            <v>0.79412000000000005</v>
          </cell>
          <cell r="AU11">
            <v>0.82499999999999996</v>
          </cell>
          <cell r="AV11">
            <v>0.85714000000000001</v>
          </cell>
          <cell r="AW11">
            <v>0.89010999999999996</v>
          </cell>
          <cell r="AX11">
            <v>0.92308000000000001</v>
          </cell>
        </row>
        <row r="12">
          <cell r="B12">
            <v>0.30327999999999999</v>
          </cell>
          <cell r="C12">
            <v>0.30791000000000002</v>
          </cell>
          <cell r="D12">
            <v>0.31268000000000001</v>
          </cell>
          <cell r="E12">
            <v>0.31759999999999999</v>
          </cell>
          <cell r="F12">
            <v>0.32268000000000002</v>
          </cell>
          <cell r="G12">
            <v>0.32791999999999999</v>
          </cell>
          <cell r="H12">
            <v>0.33333000000000002</v>
          </cell>
          <cell r="I12">
            <v>0.33892</v>
          </cell>
          <cell r="J12">
            <v>0.34470000000000001</v>
          </cell>
          <cell r="K12">
            <v>0.35067999999999999</v>
          </cell>
          <cell r="L12">
            <v>0.35686000000000001</v>
          </cell>
          <cell r="M12">
            <v>0.36326999999999998</v>
          </cell>
          <cell r="N12">
            <v>0.36990000000000001</v>
          </cell>
          <cell r="O12">
            <v>0.37676999999999999</v>
          </cell>
          <cell r="P12">
            <v>0.38390000000000002</v>
          </cell>
          <cell r="Q12">
            <v>0.39129999999999998</v>
          </cell>
          <cell r="R12">
            <v>0.39899000000000001</v>
          </cell>
          <cell r="S12">
            <v>0.40698000000000001</v>
          </cell>
          <cell r="T12">
            <v>0.41527999999999998</v>
          </cell>
          <cell r="U12">
            <v>0.42392999999999997</v>
          </cell>
          <cell r="V12">
            <v>0.43292999999999998</v>
          </cell>
          <cell r="W12">
            <v>0.44230999999999998</v>
          </cell>
          <cell r="X12">
            <v>0.45208999999999999</v>
          </cell>
          <cell r="Y12">
            <v>0.46229999999999999</v>
          </cell>
          <cell r="Z12">
            <v>0.47297</v>
          </cell>
          <cell r="AA12">
            <v>0.48413</v>
          </cell>
          <cell r="AB12">
            <v>0.49580000000000002</v>
          </cell>
          <cell r="AC12">
            <v>0.50802000000000003</v>
          </cell>
          <cell r="AD12">
            <v>0.52083000000000002</v>
          </cell>
          <cell r="AE12">
            <v>0.53427000000000002</v>
          </cell>
          <cell r="AF12">
            <v>0.54839000000000004</v>
          </cell>
          <cell r="AG12">
            <v>0.56322000000000005</v>
          </cell>
          <cell r="AH12">
            <v>0.57882</v>
          </cell>
          <cell r="AI12">
            <v>0.59523999999999999</v>
          </cell>
          <cell r="AJ12">
            <v>0.61253999999999997</v>
          </cell>
          <cell r="AK12">
            <v>0.63077000000000005</v>
          </cell>
          <cell r="AL12">
            <v>0.65</v>
          </cell>
          <cell r="AM12">
            <v>0.67029000000000005</v>
          </cell>
          <cell r="AN12">
            <v>0.69169999999999998</v>
          </cell>
          <cell r="AO12">
            <v>0.71428999999999998</v>
          </cell>
          <cell r="AP12">
            <v>0.73809999999999998</v>
          </cell>
          <cell r="AQ12">
            <v>0.76315999999999995</v>
          </cell>
          <cell r="AR12">
            <v>0.78947000000000001</v>
          </cell>
          <cell r="AS12">
            <v>0.81698999999999999</v>
          </cell>
          <cell r="AT12">
            <v>0.84558999999999995</v>
          </cell>
          <cell r="AU12">
            <v>0.875</v>
          </cell>
          <cell r="AV12">
            <v>0.90476000000000001</v>
          </cell>
          <cell r="AW12">
            <v>0.93406999999999996</v>
          </cell>
          <cell r="AX12">
            <v>0.96153999999999995</v>
          </cell>
        </row>
        <row r="13">
          <cell r="B13">
            <v>0.3306</v>
          </cell>
          <cell r="C13">
            <v>0.33559</v>
          </cell>
          <cell r="D13">
            <v>0.34073999999999999</v>
          </cell>
          <cell r="E13">
            <v>0.34604000000000001</v>
          </cell>
          <cell r="F13">
            <v>0.35149999999999998</v>
          </cell>
          <cell r="G13">
            <v>0.35714000000000001</v>
          </cell>
          <cell r="H13">
            <v>0.36296</v>
          </cell>
          <cell r="I13">
            <v>0.36897000000000002</v>
          </cell>
          <cell r="J13">
            <v>0.37518000000000001</v>
          </cell>
          <cell r="K13">
            <v>0.38159999999999999</v>
          </cell>
          <cell r="L13">
            <v>0.38823999999999997</v>
          </cell>
          <cell r="M13">
            <v>0.39510000000000001</v>
          </cell>
          <cell r="N13">
            <v>0.40221000000000001</v>
          </cell>
          <cell r="O13">
            <v>0.40956999999999999</v>
          </cell>
          <cell r="P13">
            <v>0.41721000000000003</v>
          </cell>
          <cell r="Q13">
            <v>0.42512</v>
          </cell>
          <cell r="R13">
            <v>0.43332999999999999</v>
          </cell>
          <cell r="S13">
            <v>0.44185999999999998</v>
          </cell>
          <cell r="T13">
            <v>0.45072000000000001</v>
          </cell>
          <cell r="U13">
            <v>0.45993000000000001</v>
          </cell>
          <cell r="V13">
            <v>0.46950999999999998</v>
          </cell>
          <cell r="W13">
            <v>0.47949000000000003</v>
          </cell>
          <cell r="X13">
            <v>0.48987999999999998</v>
          </cell>
          <cell r="Y13">
            <v>0.50070999999999999</v>
          </cell>
          <cell r="Z13">
            <v>0.51200999999999997</v>
          </cell>
          <cell r="AA13">
            <v>0.52381</v>
          </cell>
          <cell r="AB13">
            <v>0.53613</v>
          </cell>
          <cell r="AC13">
            <v>0.54901999999999995</v>
          </cell>
          <cell r="AD13">
            <v>0.5625</v>
          </cell>
          <cell r="AE13">
            <v>0.57660999999999996</v>
          </cell>
          <cell r="AF13">
            <v>0.59140000000000004</v>
          </cell>
          <cell r="AG13">
            <v>0.6069</v>
          </cell>
          <cell r="AH13">
            <v>0.62314999999999998</v>
          </cell>
          <cell r="AI13">
            <v>0.64020999999999995</v>
          </cell>
          <cell r="AJ13">
            <v>0.65812000000000004</v>
          </cell>
          <cell r="AK13">
            <v>0.67691999999999997</v>
          </cell>
          <cell r="AL13">
            <v>0.69667000000000001</v>
          </cell>
          <cell r="AM13">
            <v>0.71738999999999997</v>
          </cell>
          <cell r="AN13">
            <v>0.73912999999999995</v>
          </cell>
          <cell r="AO13">
            <v>0.76190000000000002</v>
          </cell>
          <cell r="AP13">
            <v>0.78571000000000002</v>
          </cell>
          <cell r="AQ13">
            <v>0.81052999999999997</v>
          </cell>
          <cell r="AR13">
            <v>0.83626</v>
          </cell>
          <cell r="AS13">
            <v>0.86275000000000002</v>
          </cell>
          <cell r="AT13">
            <v>0.88971</v>
          </cell>
          <cell r="AU13">
            <v>0.91666999999999998</v>
          </cell>
          <cell r="AV13">
            <v>0.94286000000000003</v>
          </cell>
          <cell r="AW13">
            <v>0.96702999999999995</v>
          </cell>
          <cell r="AX13">
            <v>0.98717999999999995</v>
          </cell>
        </row>
        <row r="14">
          <cell r="B14">
            <v>0.35737999999999998</v>
          </cell>
          <cell r="C14">
            <v>0.36270999999999998</v>
          </cell>
          <cell r="D14">
            <v>0.36820999999999998</v>
          </cell>
          <cell r="E14">
            <v>0.37386999999999998</v>
          </cell>
          <cell r="F14">
            <v>0.37969999999999998</v>
          </cell>
          <cell r="G14">
            <v>0.38571</v>
          </cell>
          <cell r="H14">
            <v>0.39191999999999999</v>
          </cell>
          <cell r="I14">
            <v>0.39832000000000001</v>
          </cell>
          <cell r="J14">
            <v>0.40493000000000001</v>
          </cell>
          <cell r="K14">
            <v>0.41176000000000001</v>
          </cell>
          <cell r="L14">
            <v>0.41882000000000003</v>
          </cell>
          <cell r="M14">
            <v>0.42612</v>
          </cell>
          <cell r="N14">
            <v>0.43367</v>
          </cell>
          <cell r="O14">
            <v>0.44148999999999999</v>
          </cell>
          <cell r="P14">
            <v>0.44957999999999998</v>
          </cell>
          <cell r="Q14">
            <v>0.45796999999999999</v>
          </cell>
          <cell r="R14">
            <v>0.46666999999999997</v>
          </cell>
          <cell r="S14">
            <v>0.47569</v>
          </cell>
          <cell r="T14">
            <v>0.48504999999999998</v>
          </cell>
          <cell r="U14">
            <v>0.49476999999999999</v>
          </cell>
          <cell r="V14">
            <v>0.50488</v>
          </cell>
          <cell r="W14">
            <v>0.51537999999999995</v>
          </cell>
          <cell r="X14">
            <v>0.52632000000000001</v>
          </cell>
          <cell r="Y14">
            <v>0.53769999999999996</v>
          </cell>
          <cell r="Z14">
            <v>0.54954999999999998</v>
          </cell>
          <cell r="AA14">
            <v>0.56189999999999996</v>
          </cell>
          <cell r="AB14">
            <v>0.57479000000000002</v>
          </cell>
          <cell r="AC14">
            <v>0.58823999999999999</v>
          </cell>
          <cell r="AD14">
            <v>0.60226999999999997</v>
          </cell>
          <cell r="AE14">
            <v>0.61694000000000004</v>
          </cell>
          <cell r="AF14">
            <v>0.63226000000000004</v>
          </cell>
          <cell r="AG14">
            <v>0.64827999999999997</v>
          </cell>
          <cell r="AH14">
            <v>0.66501999999999994</v>
          </cell>
          <cell r="AI14">
            <v>0.68254000000000004</v>
          </cell>
          <cell r="AJ14">
            <v>0.70084999999999997</v>
          </cell>
          <cell r="AK14">
            <v>0.72</v>
          </cell>
          <cell r="AL14">
            <v>0.74</v>
          </cell>
          <cell r="AM14">
            <v>0.76087000000000005</v>
          </cell>
          <cell r="AN14">
            <v>0.78261000000000003</v>
          </cell>
          <cell r="AO14">
            <v>0.80518999999999996</v>
          </cell>
          <cell r="AP14">
            <v>0.82857000000000003</v>
          </cell>
          <cell r="AQ14">
            <v>0.85263</v>
          </cell>
          <cell r="AR14">
            <v>0.87719000000000003</v>
          </cell>
          <cell r="AS14">
            <v>0.90195999999999998</v>
          </cell>
          <cell r="AT14">
            <v>0.92647000000000002</v>
          </cell>
          <cell r="AU14">
            <v>0.95</v>
          </cell>
          <cell r="AV14">
            <v>0.97143000000000002</v>
          </cell>
          <cell r="AW14">
            <v>0.98900999999999994</v>
          </cell>
          <cell r="AX14">
            <v>1</v>
          </cell>
        </row>
        <row r="15">
          <cell r="B15">
            <v>0.38361000000000001</v>
          </cell>
          <cell r="C15">
            <v>0.38927</v>
          </cell>
          <cell r="D15">
            <v>0.39509</v>
          </cell>
          <cell r="E15">
            <v>0.40109</v>
          </cell>
          <cell r="F15">
            <v>0.40727000000000002</v>
          </cell>
          <cell r="G15">
            <v>0.41364000000000001</v>
          </cell>
          <cell r="H15">
            <v>0.42020000000000002</v>
          </cell>
          <cell r="I15">
            <v>0.42697000000000002</v>
          </cell>
          <cell r="J15">
            <v>0.43396000000000001</v>
          </cell>
          <cell r="K15">
            <v>0.44118000000000002</v>
          </cell>
          <cell r="L15">
            <v>0.44862999999999997</v>
          </cell>
          <cell r="M15">
            <v>0.45633000000000001</v>
          </cell>
          <cell r="N15">
            <v>0.46428999999999998</v>
          </cell>
          <cell r="O15">
            <v>0.47252</v>
          </cell>
          <cell r="P15">
            <v>0.48104000000000002</v>
          </cell>
          <cell r="Q15">
            <v>0.48986000000000002</v>
          </cell>
          <cell r="R15">
            <v>0.49898999999999999</v>
          </cell>
          <cell r="S15">
            <v>0.50846000000000002</v>
          </cell>
          <cell r="T15">
            <v>0.51827000000000001</v>
          </cell>
          <cell r="U15">
            <v>0.52846000000000004</v>
          </cell>
          <cell r="V15">
            <v>0.53902000000000005</v>
          </cell>
          <cell r="W15">
            <v>0.55000000000000004</v>
          </cell>
          <cell r="X15">
            <v>0.56140000000000001</v>
          </cell>
          <cell r="Y15">
            <v>0.57325999999999999</v>
          </cell>
          <cell r="Z15">
            <v>0.58559000000000005</v>
          </cell>
          <cell r="AA15">
            <v>0.59841</v>
          </cell>
          <cell r="AB15">
            <v>0.61175999999999997</v>
          </cell>
          <cell r="AC15">
            <v>0.62566999999999995</v>
          </cell>
          <cell r="AD15">
            <v>0.64015</v>
          </cell>
          <cell r="AE15">
            <v>0.65524000000000004</v>
          </cell>
          <cell r="AF15">
            <v>0.67096999999999996</v>
          </cell>
          <cell r="AG15">
            <v>0.68735999999999997</v>
          </cell>
          <cell r="AH15">
            <v>0.70443</v>
          </cell>
          <cell r="AI15">
            <v>0.72221999999999997</v>
          </cell>
          <cell r="AJ15">
            <v>0.74073999999999995</v>
          </cell>
          <cell r="AK15">
            <v>0.76</v>
          </cell>
          <cell r="AL15">
            <v>0.78</v>
          </cell>
          <cell r="AM15">
            <v>0.80071999999999999</v>
          </cell>
          <cell r="AN15">
            <v>0.82213000000000003</v>
          </cell>
          <cell r="AO15">
            <v>0.84416000000000002</v>
          </cell>
          <cell r="AP15">
            <v>0.86667000000000005</v>
          </cell>
          <cell r="AQ15">
            <v>0.88946999999999998</v>
          </cell>
          <cell r="AR15">
            <v>0.91227999999999998</v>
          </cell>
          <cell r="AS15">
            <v>0.93464000000000003</v>
          </cell>
          <cell r="AT15">
            <v>0.95587999999999995</v>
          </cell>
          <cell r="AU15">
            <v>0.97499999999999998</v>
          </cell>
          <cell r="AV15">
            <v>0.99048000000000003</v>
          </cell>
          <cell r="AW15">
            <v>1</v>
          </cell>
        </row>
        <row r="16">
          <cell r="B16">
            <v>0.40928999999999999</v>
          </cell>
          <cell r="C16">
            <v>0.41525000000000001</v>
          </cell>
          <cell r="D16">
            <v>0.42138999999999999</v>
          </cell>
          <cell r="E16">
            <v>0.42770999999999998</v>
          </cell>
          <cell r="F16">
            <v>0.43420999999999998</v>
          </cell>
          <cell r="G16">
            <v>0.44091000000000002</v>
          </cell>
          <cell r="H16">
            <v>0.44780999999999999</v>
          </cell>
          <cell r="I16">
            <v>0.45493</v>
          </cell>
          <cell r="J16">
            <v>0.46226</v>
          </cell>
          <cell r="K16">
            <v>0.46983000000000003</v>
          </cell>
          <cell r="L16">
            <v>0.47765000000000002</v>
          </cell>
          <cell r="M16">
            <v>0.48570999999999998</v>
          </cell>
          <cell r="N16">
            <v>0.49404999999999999</v>
          </cell>
          <cell r="O16">
            <v>0.50266</v>
          </cell>
          <cell r="P16">
            <v>0.51156000000000001</v>
          </cell>
          <cell r="Q16">
            <v>0.52076999999999996</v>
          </cell>
          <cell r="R16">
            <v>0.53029999999999999</v>
          </cell>
          <cell r="S16">
            <v>0.54017000000000004</v>
          </cell>
          <cell r="T16">
            <v>0.55039000000000005</v>
          </cell>
          <cell r="U16">
            <v>0.56098000000000003</v>
          </cell>
          <cell r="V16">
            <v>0.57194999999999996</v>
          </cell>
          <cell r="W16">
            <v>0.58333000000000002</v>
          </cell>
          <cell r="X16">
            <v>0.59514</v>
          </cell>
          <cell r="Y16">
            <v>0.60740000000000005</v>
          </cell>
          <cell r="Z16">
            <v>0.62012</v>
          </cell>
          <cell r="AA16">
            <v>0.63332999999999995</v>
          </cell>
          <cell r="AB16">
            <v>0.64705999999999997</v>
          </cell>
          <cell r="AC16">
            <v>0.66132000000000002</v>
          </cell>
          <cell r="AD16">
            <v>0.67613999999999996</v>
          </cell>
          <cell r="AE16">
            <v>0.69152999999999998</v>
          </cell>
          <cell r="AF16">
            <v>0.70752999999999999</v>
          </cell>
          <cell r="AG16">
            <v>0.72414000000000001</v>
          </cell>
          <cell r="AH16">
            <v>0.74138000000000004</v>
          </cell>
          <cell r="AI16">
            <v>0.75926000000000005</v>
          </cell>
          <cell r="AJ16">
            <v>0.77778000000000003</v>
          </cell>
          <cell r="AK16">
            <v>0.79691999999999996</v>
          </cell>
          <cell r="AL16">
            <v>0.81667000000000001</v>
          </cell>
          <cell r="AM16">
            <v>0.83696000000000004</v>
          </cell>
          <cell r="AN16">
            <v>0.85770999999999997</v>
          </cell>
          <cell r="AO16">
            <v>0.87878999999999996</v>
          </cell>
          <cell r="AP16">
            <v>0.9</v>
          </cell>
          <cell r="AQ16">
            <v>0.92105000000000004</v>
          </cell>
          <cell r="AR16">
            <v>0.94152000000000002</v>
          </cell>
          <cell r="AS16">
            <v>0.96077999999999997</v>
          </cell>
          <cell r="AT16">
            <v>0.97794000000000003</v>
          </cell>
          <cell r="AU16">
            <v>0.99167000000000005</v>
          </cell>
          <cell r="AV16">
            <v>1</v>
          </cell>
        </row>
        <row r="17">
          <cell r="B17">
            <v>0.43442999999999998</v>
          </cell>
          <cell r="C17">
            <v>0.44068000000000002</v>
          </cell>
          <cell r="D17">
            <v>0.44711000000000001</v>
          </cell>
          <cell r="E17">
            <v>0.45372000000000001</v>
          </cell>
          <cell r="F17">
            <v>0.46052999999999999</v>
          </cell>
          <cell r="G17">
            <v>0.46753</v>
          </cell>
          <cell r="H17">
            <v>0.47475000000000001</v>
          </cell>
          <cell r="I17">
            <v>0.48218</v>
          </cell>
          <cell r="J17">
            <v>0.48984</v>
          </cell>
          <cell r="K17">
            <v>0.49774000000000002</v>
          </cell>
          <cell r="L17">
            <v>0.50588</v>
          </cell>
          <cell r="M17">
            <v>0.51429000000000002</v>
          </cell>
          <cell r="N17">
            <v>0.52295999999999998</v>
          </cell>
          <cell r="O17">
            <v>0.53190999999999999</v>
          </cell>
          <cell r="P17">
            <v>0.54117000000000004</v>
          </cell>
          <cell r="Q17">
            <v>0.55071999999999999</v>
          </cell>
          <cell r="R17">
            <v>0.56061000000000005</v>
          </cell>
          <cell r="S17">
            <v>0.57081999999999999</v>
          </cell>
          <cell r="T17">
            <v>0.58140000000000003</v>
          </cell>
          <cell r="U17">
            <v>0.59233000000000002</v>
          </cell>
          <cell r="V17">
            <v>0.60365999999999997</v>
          </cell>
          <cell r="W17">
            <v>0.61538000000000004</v>
          </cell>
          <cell r="X17">
            <v>0.62753000000000003</v>
          </cell>
          <cell r="Y17">
            <v>0.64010999999999996</v>
          </cell>
          <cell r="Z17">
            <v>0.65315000000000001</v>
          </cell>
          <cell r="AA17">
            <v>0.66666999999999998</v>
          </cell>
          <cell r="AB17">
            <v>0.68067</v>
          </cell>
          <cell r="AC17">
            <v>0.69518999999999997</v>
          </cell>
          <cell r="AD17">
            <v>0.71023000000000003</v>
          </cell>
          <cell r="AE17">
            <v>0.72580999999999996</v>
          </cell>
          <cell r="AF17">
            <v>0.74194000000000004</v>
          </cell>
          <cell r="AG17">
            <v>0.75861999999999996</v>
          </cell>
          <cell r="AH17">
            <v>0.77585999999999999</v>
          </cell>
          <cell r="AI17">
            <v>0.79364999999999997</v>
          </cell>
          <cell r="AJ17">
            <v>0.81196999999999997</v>
          </cell>
          <cell r="AK17">
            <v>0.83077000000000001</v>
          </cell>
          <cell r="AL17">
            <v>0.85</v>
          </cell>
          <cell r="AM17">
            <v>0.86956999999999995</v>
          </cell>
          <cell r="AN17">
            <v>0.88932999999999995</v>
          </cell>
          <cell r="AO17">
            <v>0.90908999999999995</v>
          </cell>
          <cell r="AP17">
            <v>0.92857000000000001</v>
          </cell>
          <cell r="AQ17">
            <v>0.94737000000000005</v>
          </cell>
          <cell r="AR17">
            <v>0.96491000000000005</v>
          </cell>
          <cell r="AS17">
            <v>0.98038999999999998</v>
          </cell>
          <cell r="AT17">
            <v>0.99265000000000003</v>
          </cell>
          <cell r="AU17">
            <v>1</v>
          </cell>
        </row>
        <row r="18">
          <cell r="B18">
            <v>0.45901999999999998</v>
          </cell>
          <cell r="C18">
            <v>0.46554000000000001</v>
          </cell>
          <cell r="D18">
            <v>0.47223999999999999</v>
          </cell>
          <cell r="E18">
            <v>0.47913</v>
          </cell>
          <cell r="F18">
            <v>0.48621999999999999</v>
          </cell>
          <cell r="G18">
            <v>0.49351</v>
          </cell>
          <cell r="H18">
            <v>0.50100999999999996</v>
          </cell>
          <cell r="I18">
            <v>0.50873999999999997</v>
          </cell>
          <cell r="J18">
            <v>0.51668999999999998</v>
          </cell>
          <cell r="K18">
            <v>0.52488999999999997</v>
          </cell>
          <cell r="L18">
            <v>0.53332999999999997</v>
          </cell>
          <cell r="M18">
            <v>0.54203999999999997</v>
          </cell>
          <cell r="N18">
            <v>0.55101999999999995</v>
          </cell>
          <cell r="O18">
            <v>0.56028</v>
          </cell>
          <cell r="P18">
            <v>0.56984000000000001</v>
          </cell>
          <cell r="Q18">
            <v>0.57970999999999995</v>
          </cell>
          <cell r="R18">
            <v>0.58989999999999998</v>
          </cell>
          <cell r="S18">
            <v>0.60041999999999995</v>
          </cell>
          <cell r="T18">
            <v>0.61129999999999995</v>
          </cell>
          <cell r="U18">
            <v>0.62253000000000003</v>
          </cell>
          <cell r="V18">
            <v>0.63414999999999999</v>
          </cell>
          <cell r="W18">
            <v>0.64615</v>
          </cell>
          <cell r="X18">
            <v>0.65856999999999999</v>
          </cell>
          <cell r="Y18">
            <v>0.67140999999999995</v>
          </cell>
          <cell r="Z18">
            <v>0.68467999999999996</v>
          </cell>
          <cell r="AA18">
            <v>0.69840999999999998</v>
          </cell>
          <cell r="AB18">
            <v>0.71260999999999997</v>
          </cell>
          <cell r="AC18">
            <v>0.72726999999999997</v>
          </cell>
          <cell r="AD18">
            <v>0.74241999999999997</v>
          </cell>
          <cell r="AE18">
            <v>0.75805999999999996</v>
          </cell>
          <cell r="AF18">
            <v>0.77419000000000004</v>
          </cell>
          <cell r="AG18">
            <v>0.79079999999999995</v>
          </cell>
          <cell r="AH18">
            <v>0.80788000000000004</v>
          </cell>
          <cell r="AI18">
            <v>0.82540000000000002</v>
          </cell>
          <cell r="AJ18">
            <v>0.84330000000000005</v>
          </cell>
          <cell r="AK18">
            <v>0.86153999999999997</v>
          </cell>
          <cell r="AL18">
            <v>0.88</v>
          </cell>
          <cell r="AM18">
            <v>0.89854999999999996</v>
          </cell>
          <cell r="AN18">
            <v>0.91700000000000004</v>
          </cell>
          <cell r="AO18">
            <v>0.93506</v>
          </cell>
          <cell r="AP18">
            <v>0.95238</v>
          </cell>
          <cell r="AQ18">
            <v>0.96841999999999995</v>
          </cell>
          <cell r="AR18">
            <v>0.98246</v>
          </cell>
          <cell r="AS18">
            <v>0.99346000000000001</v>
          </cell>
          <cell r="AT18">
            <v>1</v>
          </cell>
        </row>
        <row r="19">
          <cell r="B19">
            <v>0.48305999999999999</v>
          </cell>
          <cell r="C19">
            <v>0.48982999999999999</v>
          </cell>
          <cell r="D19">
            <v>0.49679000000000001</v>
          </cell>
          <cell r="E19">
            <v>0.50392999999999999</v>
          </cell>
          <cell r="F19">
            <v>0.51127999999999996</v>
          </cell>
          <cell r="G19">
            <v>0.51883000000000001</v>
          </cell>
          <cell r="H19">
            <v>0.52659999999999996</v>
          </cell>
          <cell r="I19">
            <v>0.53459000000000001</v>
          </cell>
          <cell r="J19">
            <v>0.54281999999999997</v>
          </cell>
          <cell r="K19">
            <v>0.55127999999999999</v>
          </cell>
          <cell r="L19">
            <v>0.56000000000000005</v>
          </cell>
          <cell r="M19">
            <v>0.56898000000000004</v>
          </cell>
          <cell r="N19">
            <v>0.57823000000000002</v>
          </cell>
          <cell r="O19">
            <v>0.58777000000000001</v>
          </cell>
          <cell r="P19">
            <v>0.59758999999999995</v>
          </cell>
          <cell r="Q19">
            <v>0.60772999999999999</v>
          </cell>
          <cell r="R19">
            <v>0.61817999999999995</v>
          </cell>
          <cell r="S19">
            <v>0.62895999999999996</v>
          </cell>
          <cell r="T19">
            <v>0.64009000000000005</v>
          </cell>
          <cell r="U19">
            <v>0.65156999999999998</v>
          </cell>
          <cell r="V19">
            <v>0.66341000000000006</v>
          </cell>
          <cell r="W19">
            <v>0.67564000000000002</v>
          </cell>
          <cell r="X19">
            <v>0.68825999999999998</v>
          </cell>
          <cell r="Y19">
            <v>0.70128000000000001</v>
          </cell>
          <cell r="Z19">
            <v>0.71470999999999996</v>
          </cell>
          <cell r="AA19">
            <v>0.72857000000000005</v>
          </cell>
          <cell r="AB19">
            <v>0.74285999999999996</v>
          </cell>
          <cell r="AC19">
            <v>0.75758000000000003</v>
          </cell>
          <cell r="AD19">
            <v>0.77273000000000003</v>
          </cell>
          <cell r="AE19">
            <v>0.78830999999999996</v>
          </cell>
          <cell r="AF19">
            <v>0.80430000000000001</v>
          </cell>
          <cell r="AG19">
            <v>0.82069000000000003</v>
          </cell>
          <cell r="AH19">
            <v>0.83743999999999996</v>
          </cell>
          <cell r="AI19">
            <v>0.85450000000000004</v>
          </cell>
          <cell r="AJ19">
            <v>0.87178999999999995</v>
          </cell>
          <cell r="AK19">
            <v>0.88922999999999996</v>
          </cell>
          <cell r="AL19">
            <v>0.90666999999999998</v>
          </cell>
          <cell r="AM19">
            <v>0.92391000000000001</v>
          </cell>
          <cell r="AN19">
            <v>0.94071000000000005</v>
          </cell>
          <cell r="AO19">
            <v>0.95670999999999995</v>
          </cell>
          <cell r="AP19">
            <v>0.97143000000000002</v>
          </cell>
          <cell r="AQ19">
            <v>0.98421000000000003</v>
          </cell>
          <cell r="AR19">
            <v>0.99414999999999998</v>
          </cell>
          <cell r="AS19">
            <v>1</v>
          </cell>
        </row>
        <row r="20">
          <cell r="B20">
            <v>0.50656000000000001</v>
          </cell>
          <cell r="C20">
            <v>0.51356000000000002</v>
          </cell>
          <cell r="D20">
            <v>0.52075000000000005</v>
          </cell>
          <cell r="E20">
            <v>0.52812999999999999</v>
          </cell>
          <cell r="F20">
            <v>0.53571000000000002</v>
          </cell>
          <cell r="G20">
            <v>0.54351000000000005</v>
          </cell>
          <cell r="H20">
            <v>0.55152000000000001</v>
          </cell>
          <cell r="I20">
            <v>0.55974999999999997</v>
          </cell>
          <cell r="J20">
            <v>0.56820999999999999</v>
          </cell>
          <cell r="K20">
            <v>0.57691999999999999</v>
          </cell>
          <cell r="L20">
            <v>0.58587999999999996</v>
          </cell>
          <cell r="M20">
            <v>0.59509999999999996</v>
          </cell>
          <cell r="N20">
            <v>0.60458999999999996</v>
          </cell>
          <cell r="O20">
            <v>0.61436000000000002</v>
          </cell>
          <cell r="P20">
            <v>0.62441999999999998</v>
          </cell>
          <cell r="Q20">
            <v>0.63478000000000001</v>
          </cell>
          <cell r="R20">
            <v>0.64544999999999997</v>
          </cell>
          <cell r="S20">
            <v>0.65644999999999998</v>
          </cell>
          <cell r="T20">
            <v>0.66776999999999997</v>
          </cell>
          <cell r="U20">
            <v>0.67944000000000004</v>
          </cell>
          <cell r="V20">
            <v>0.69145999999999996</v>
          </cell>
          <cell r="W20">
            <v>0.70384999999999998</v>
          </cell>
          <cell r="X20">
            <v>0.71660000000000001</v>
          </cell>
          <cell r="Y20">
            <v>0.72972999999999999</v>
          </cell>
          <cell r="Z20">
            <v>0.74324000000000001</v>
          </cell>
          <cell r="AA20">
            <v>0.75714000000000004</v>
          </cell>
          <cell r="AB20">
            <v>0.77142999999999995</v>
          </cell>
          <cell r="AC20">
            <v>0.78610000000000002</v>
          </cell>
          <cell r="AD20">
            <v>0.80113999999999996</v>
          </cell>
          <cell r="AE20">
            <v>0.81652999999999998</v>
          </cell>
          <cell r="AF20">
            <v>0.83226</v>
          </cell>
          <cell r="AG20">
            <v>0.84828000000000003</v>
          </cell>
          <cell r="AH20">
            <v>0.86453000000000002</v>
          </cell>
          <cell r="AI20">
            <v>0.88095000000000001</v>
          </cell>
          <cell r="AJ20">
            <v>0.89744000000000002</v>
          </cell>
          <cell r="AK20">
            <v>0.91385000000000005</v>
          </cell>
          <cell r="AL20">
            <v>0.93</v>
          </cell>
          <cell r="AM20">
            <v>0.94564999999999999</v>
          </cell>
          <cell r="AN20">
            <v>0.96047000000000005</v>
          </cell>
          <cell r="AO20">
            <v>0.97402999999999995</v>
          </cell>
          <cell r="AP20">
            <v>0.98570999999999998</v>
          </cell>
          <cell r="AQ20">
            <v>0.99473999999999996</v>
          </cell>
          <cell r="AR20">
            <v>1</v>
          </cell>
        </row>
        <row r="21">
          <cell r="B21">
            <v>0.52951000000000004</v>
          </cell>
          <cell r="C21">
            <v>0.53671999999999997</v>
          </cell>
          <cell r="D21">
            <v>0.54413</v>
          </cell>
          <cell r="E21">
            <v>0.55171999999999999</v>
          </cell>
          <cell r="F21">
            <v>0.55952000000000002</v>
          </cell>
          <cell r="G21">
            <v>0.56752999999999998</v>
          </cell>
          <cell r="H21">
            <v>0.57576000000000005</v>
          </cell>
          <cell r="I21">
            <v>0.58421000000000001</v>
          </cell>
          <cell r="J21">
            <v>0.59289000000000003</v>
          </cell>
          <cell r="K21">
            <v>0.60180999999999996</v>
          </cell>
          <cell r="L21">
            <v>0.61097999999999997</v>
          </cell>
          <cell r="M21">
            <v>0.62041000000000002</v>
          </cell>
          <cell r="N21">
            <v>0.63009999999999999</v>
          </cell>
          <cell r="O21">
            <v>0.64007000000000003</v>
          </cell>
          <cell r="P21">
            <v>0.65032000000000001</v>
          </cell>
          <cell r="Q21">
            <v>0.66086999999999996</v>
          </cell>
          <cell r="R21">
            <v>0.67171999999999998</v>
          </cell>
          <cell r="S21">
            <v>0.68288000000000004</v>
          </cell>
          <cell r="T21">
            <v>0.69435000000000002</v>
          </cell>
          <cell r="U21">
            <v>0.70616000000000001</v>
          </cell>
          <cell r="V21">
            <v>0.71828999999999998</v>
          </cell>
          <cell r="W21">
            <v>0.73077000000000003</v>
          </cell>
          <cell r="X21">
            <v>0.74358999999999997</v>
          </cell>
          <cell r="Y21">
            <v>0.75675999999999999</v>
          </cell>
          <cell r="Z21">
            <v>0.77027000000000001</v>
          </cell>
          <cell r="AA21">
            <v>0.78412999999999999</v>
          </cell>
          <cell r="AB21">
            <v>0.79832000000000003</v>
          </cell>
          <cell r="AC21">
            <v>0.81283000000000005</v>
          </cell>
          <cell r="AD21">
            <v>0.82765</v>
          </cell>
          <cell r="AE21">
            <v>0.84274000000000004</v>
          </cell>
          <cell r="AF21">
            <v>0.85806000000000004</v>
          </cell>
          <cell r="AG21">
            <v>0.87356</v>
          </cell>
          <cell r="AH21">
            <v>0.88915999999999995</v>
          </cell>
          <cell r="AI21">
            <v>0.90476000000000001</v>
          </cell>
          <cell r="AJ21">
            <v>0.92022999999999999</v>
          </cell>
          <cell r="AK21">
            <v>0.93537999999999999</v>
          </cell>
          <cell r="AL21">
            <v>0.95</v>
          </cell>
          <cell r="AM21">
            <v>0.96377000000000002</v>
          </cell>
          <cell r="AN21">
            <v>0.97628000000000004</v>
          </cell>
          <cell r="AO21">
            <v>0.98701000000000005</v>
          </cell>
          <cell r="AP21">
            <v>0.99524000000000001</v>
          </cell>
          <cell r="AQ21">
            <v>1</v>
          </cell>
        </row>
        <row r="22">
          <cell r="B22">
            <v>0.55191000000000001</v>
          </cell>
          <cell r="C22">
            <v>0.55932000000000004</v>
          </cell>
          <cell r="D22">
            <v>0.56691999999999998</v>
          </cell>
          <cell r="E22">
            <v>0.57471000000000005</v>
          </cell>
          <cell r="F22">
            <v>0.58270999999999995</v>
          </cell>
          <cell r="G22">
            <v>0.59091000000000005</v>
          </cell>
          <cell r="H22">
            <v>0.59933000000000003</v>
          </cell>
          <cell r="I22">
            <v>0.60797000000000001</v>
          </cell>
          <cell r="J22">
            <v>0.61684000000000005</v>
          </cell>
          <cell r="K22">
            <v>0.62594000000000005</v>
          </cell>
          <cell r="L22">
            <v>0.63529000000000002</v>
          </cell>
          <cell r="M22">
            <v>0.64490000000000003</v>
          </cell>
          <cell r="N22">
            <v>0.65476000000000001</v>
          </cell>
          <cell r="O22">
            <v>0.66488999999999998</v>
          </cell>
          <cell r="P22">
            <v>0.67530000000000001</v>
          </cell>
          <cell r="Q22">
            <v>0.68598999999999999</v>
          </cell>
          <cell r="R22">
            <v>0.69696999999999998</v>
          </cell>
          <cell r="S22">
            <v>0.70825000000000005</v>
          </cell>
          <cell r="T22">
            <v>0.71982000000000002</v>
          </cell>
          <cell r="U22">
            <v>0.73170999999999997</v>
          </cell>
          <cell r="V22">
            <v>0.74390000000000001</v>
          </cell>
          <cell r="W22">
            <v>0.75641000000000003</v>
          </cell>
          <cell r="X22">
            <v>0.76922999999999997</v>
          </cell>
          <cell r="Y22">
            <v>0.78236000000000006</v>
          </cell>
          <cell r="Z22">
            <v>0.79579999999999995</v>
          </cell>
          <cell r="AA22">
            <v>0.80952000000000002</v>
          </cell>
          <cell r="AB22">
            <v>0.82352999999999998</v>
          </cell>
          <cell r="AC22">
            <v>0.83779000000000003</v>
          </cell>
          <cell r="AD22">
            <v>0.85226999999999997</v>
          </cell>
          <cell r="AE22">
            <v>0.86694000000000004</v>
          </cell>
          <cell r="AF22">
            <v>0.88171999999999995</v>
          </cell>
          <cell r="AG22">
            <v>0.89654999999999996</v>
          </cell>
          <cell r="AH22">
            <v>0.91132999999999997</v>
          </cell>
          <cell r="AI22">
            <v>0.92593000000000003</v>
          </cell>
          <cell r="AJ22">
            <v>0.94016999999999995</v>
          </cell>
          <cell r="AK22">
            <v>0.95384999999999998</v>
          </cell>
          <cell r="AL22">
            <v>0.96667000000000003</v>
          </cell>
          <cell r="AM22">
            <v>0.97826000000000002</v>
          </cell>
          <cell r="AN22">
            <v>0.98814000000000002</v>
          </cell>
          <cell r="AO22">
            <v>0.99567000000000005</v>
          </cell>
          <cell r="AP22">
            <v>1</v>
          </cell>
        </row>
        <row r="23">
          <cell r="B23">
            <v>0.57377</v>
          </cell>
          <cell r="C23">
            <v>0.58135999999999999</v>
          </cell>
          <cell r="D23">
            <v>0.58913000000000004</v>
          </cell>
          <cell r="E23">
            <v>0.59709999999999996</v>
          </cell>
          <cell r="F23">
            <v>0.60526000000000002</v>
          </cell>
          <cell r="G23">
            <v>0.61363999999999996</v>
          </cell>
          <cell r="H23">
            <v>0.62222</v>
          </cell>
          <cell r="I23">
            <v>0.63102999999999998</v>
          </cell>
          <cell r="J23">
            <v>0.64005999999999996</v>
          </cell>
          <cell r="K23">
            <v>0.64932000000000001</v>
          </cell>
          <cell r="L23">
            <v>0.65881999999999996</v>
          </cell>
          <cell r="M23">
            <v>0.66857</v>
          </cell>
          <cell r="N23">
            <v>0.67857000000000001</v>
          </cell>
          <cell r="O23">
            <v>0.68883000000000005</v>
          </cell>
          <cell r="P23">
            <v>0.69935000000000003</v>
          </cell>
          <cell r="Q23">
            <v>0.71013999999999999</v>
          </cell>
          <cell r="R23">
            <v>0.72121000000000002</v>
          </cell>
          <cell r="S23">
            <v>0.73255999999999999</v>
          </cell>
          <cell r="T23">
            <v>0.74419000000000002</v>
          </cell>
          <cell r="U23">
            <v>0.75609999999999999</v>
          </cell>
          <cell r="V23">
            <v>0.76829000000000003</v>
          </cell>
          <cell r="W23">
            <v>0.78076999999999996</v>
          </cell>
          <cell r="X23">
            <v>0.79352</v>
          </cell>
          <cell r="Y23">
            <v>0.80654000000000003</v>
          </cell>
          <cell r="Z23">
            <v>0.81981999999999999</v>
          </cell>
          <cell r="AA23">
            <v>0.83333000000000002</v>
          </cell>
          <cell r="AB23">
            <v>0.84706000000000004</v>
          </cell>
          <cell r="AC23">
            <v>0.86095999999999995</v>
          </cell>
          <cell r="AD23">
            <v>0.875</v>
          </cell>
          <cell r="AE23">
            <v>0.88910999999999996</v>
          </cell>
          <cell r="AF23">
            <v>0.90322999999999998</v>
          </cell>
          <cell r="AG23">
            <v>0.91724000000000006</v>
          </cell>
          <cell r="AH23">
            <v>0.93103000000000002</v>
          </cell>
          <cell r="AI23">
            <v>0.94443999999999995</v>
          </cell>
          <cell r="AJ23">
            <v>0.95726</v>
          </cell>
          <cell r="AK23">
            <v>0.96923000000000004</v>
          </cell>
          <cell r="AL23">
            <v>0.98</v>
          </cell>
          <cell r="AM23">
            <v>0.98912999999999995</v>
          </cell>
          <cell r="AN23">
            <v>0.99604999999999999</v>
          </cell>
          <cell r="AO23">
            <v>1</v>
          </cell>
        </row>
        <row r="24">
          <cell r="B24">
            <v>0.59508000000000005</v>
          </cell>
          <cell r="C24">
            <v>0.60282000000000002</v>
          </cell>
          <cell r="D24">
            <v>0.61075000000000002</v>
          </cell>
          <cell r="E24">
            <v>0.61887000000000003</v>
          </cell>
          <cell r="F24">
            <v>0.62719000000000003</v>
          </cell>
          <cell r="G24">
            <v>0.63571</v>
          </cell>
          <cell r="H24">
            <v>0.64444000000000001</v>
          </cell>
          <cell r="I24">
            <v>0.65339000000000003</v>
          </cell>
          <cell r="J24">
            <v>0.66254999999999997</v>
          </cell>
          <cell r="K24">
            <v>0.67195000000000005</v>
          </cell>
          <cell r="L24">
            <v>0.68157000000000001</v>
          </cell>
          <cell r="M24">
            <v>0.69142999999999999</v>
          </cell>
          <cell r="N24">
            <v>0.70152999999999999</v>
          </cell>
          <cell r="O24">
            <v>0.71187999999999996</v>
          </cell>
          <cell r="P24">
            <v>0.72248000000000001</v>
          </cell>
          <cell r="Q24">
            <v>0.73333000000000004</v>
          </cell>
          <cell r="R24">
            <v>0.74443999999999999</v>
          </cell>
          <cell r="S24">
            <v>0.75580999999999998</v>
          </cell>
          <cell r="T24">
            <v>0.76744000000000001</v>
          </cell>
          <cell r="U24">
            <v>0.77932999999999997</v>
          </cell>
          <cell r="V24">
            <v>0.79146000000000005</v>
          </cell>
          <cell r="W24">
            <v>0.80384999999999995</v>
          </cell>
          <cell r="X24">
            <v>0.81645999999999996</v>
          </cell>
          <cell r="Y24">
            <v>0.82930000000000004</v>
          </cell>
          <cell r="Z24">
            <v>0.84233999999999998</v>
          </cell>
          <cell r="AA24">
            <v>0.85555999999999999</v>
          </cell>
          <cell r="AB24">
            <v>0.86890999999999996</v>
          </cell>
          <cell r="AC24">
            <v>0.88234999999999997</v>
          </cell>
          <cell r="AD24">
            <v>0.89583000000000002</v>
          </cell>
          <cell r="AE24">
            <v>0.90927000000000002</v>
          </cell>
          <cell r="AF24">
            <v>0.92257999999999996</v>
          </cell>
          <cell r="AG24">
            <v>0.93562999999999996</v>
          </cell>
          <cell r="AH24">
            <v>0.94828000000000001</v>
          </cell>
          <cell r="AI24">
            <v>0.96031999999999995</v>
          </cell>
          <cell r="AJ24">
            <v>0.97150999999999998</v>
          </cell>
          <cell r="AK24">
            <v>0.98153999999999997</v>
          </cell>
          <cell r="AL24">
            <v>0.99</v>
          </cell>
          <cell r="AM24">
            <v>0.99638000000000004</v>
          </cell>
          <cell r="AN24">
            <v>1</v>
          </cell>
        </row>
        <row r="25">
          <cell r="B25">
            <v>0.61585000000000001</v>
          </cell>
          <cell r="C25">
            <v>0.62373000000000001</v>
          </cell>
          <cell r="D25">
            <v>0.63178999999999996</v>
          </cell>
          <cell r="E25">
            <v>0.64005000000000001</v>
          </cell>
          <cell r="F25">
            <v>0.64849999999999997</v>
          </cell>
          <cell r="G25">
            <v>0.65713999999999995</v>
          </cell>
          <cell r="H25">
            <v>0.66598999999999997</v>
          </cell>
          <cell r="I25">
            <v>0.67505000000000004</v>
          </cell>
          <cell r="J25">
            <v>0.68432999999999999</v>
          </cell>
          <cell r="K25">
            <v>0.69381999999999999</v>
          </cell>
          <cell r="L25">
            <v>0.70352999999999999</v>
          </cell>
          <cell r="M25">
            <v>0.71347000000000005</v>
          </cell>
          <cell r="N25">
            <v>0.72363999999999995</v>
          </cell>
          <cell r="O25">
            <v>0.73404000000000003</v>
          </cell>
          <cell r="P25">
            <v>0.74468000000000001</v>
          </cell>
          <cell r="Q25">
            <v>0.75556000000000001</v>
          </cell>
          <cell r="R25">
            <v>0.76666999999999996</v>
          </cell>
          <cell r="S25">
            <v>0.77800999999999998</v>
          </cell>
          <cell r="T25">
            <v>0.78959000000000001</v>
          </cell>
          <cell r="U25">
            <v>0.80139000000000005</v>
          </cell>
          <cell r="V25">
            <v>0.81340999999999997</v>
          </cell>
          <cell r="W25">
            <v>0.82564000000000004</v>
          </cell>
          <cell r="X25">
            <v>0.83806000000000003</v>
          </cell>
          <cell r="Y25">
            <v>0.85063999999999995</v>
          </cell>
          <cell r="Z25">
            <v>0.86336000000000002</v>
          </cell>
          <cell r="AA25">
            <v>0.87619000000000002</v>
          </cell>
          <cell r="AB25">
            <v>0.88907999999999998</v>
          </cell>
          <cell r="AC25">
            <v>0.90195999999999998</v>
          </cell>
          <cell r="AD25">
            <v>0.91476999999999997</v>
          </cell>
          <cell r="AE25">
            <v>0.92742000000000002</v>
          </cell>
          <cell r="AF25">
            <v>0.93977999999999995</v>
          </cell>
          <cell r="AG25">
            <v>0.95172000000000001</v>
          </cell>
          <cell r="AH25">
            <v>0.96304999999999996</v>
          </cell>
          <cell r="AI25">
            <v>0.97353999999999996</v>
          </cell>
          <cell r="AJ25">
            <v>0.98290999999999995</v>
          </cell>
          <cell r="AK25">
            <v>0.99077000000000004</v>
          </cell>
          <cell r="AL25">
            <v>0.99666999999999994</v>
          </cell>
          <cell r="AM25">
            <v>1</v>
          </cell>
        </row>
        <row r="26">
          <cell r="B26">
            <v>0.63607000000000002</v>
          </cell>
          <cell r="C26">
            <v>0.64407000000000003</v>
          </cell>
          <cell r="D26">
            <v>0.65225</v>
          </cell>
          <cell r="E26">
            <v>0.66061999999999999</v>
          </cell>
          <cell r="F26">
            <v>0.66917000000000004</v>
          </cell>
          <cell r="G26">
            <v>0.67791999999999997</v>
          </cell>
          <cell r="H26">
            <v>0.68686999999999998</v>
          </cell>
          <cell r="I26">
            <v>0.69601999999999997</v>
          </cell>
          <cell r="J26">
            <v>0.70537000000000005</v>
          </cell>
          <cell r="K26">
            <v>0.71492999999999995</v>
          </cell>
          <cell r="L26">
            <v>0.72470999999999997</v>
          </cell>
          <cell r="M26">
            <v>0.73468999999999995</v>
          </cell>
          <cell r="N26">
            <v>0.74490000000000001</v>
          </cell>
          <cell r="O26">
            <v>0.75531999999999999</v>
          </cell>
          <cell r="P26">
            <v>0.76595999999999997</v>
          </cell>
          <cell r="Q26">
            <v>0.77681</v>
          </cell>
          <cell r="R26">
            <v>0.78788000000000002</v>
          </cell>
          <cell r="S26">
            <v>0.79915000000000003</v>
          </cell>
          <cell r="T26">
            <v>0.81062999999999996</v>
          </cell>
          <cell r="U26">
            <v>0.82230000000000003</v>
          </cell>
          <cell r="V26">
            <v>0.83414999999999995</v>
          </cell>
          <cell r="W26">
            <v>0.84614999999999996</v>
          </cell>
          <cell r="X26">
            <v>0.85829999999999995</v>
          </cell>
          <cell r="Y26">
            <v>0.87055000000000005</v>
          </cell>
          <cell r="Z26">
            <v>0.88288</v>
          </cell>
          <cell r="AA26">
            <v>0.89524000000000004</v>
          </cell>
          <cell r="AB26">
            <v>0.90756000000000003</v>
          </cell>
          <cell r="AC26">
            <v>0.91979</v>
          </cell>
          <cell r="AD26">
            <v>0.93181999999999998</v>
          </cell>
          <cell r="AE26">
            <v>0.94355</v>
          </cell>
          <cell r="AF26">
            <v>0.95484000000000002</v>
          </cell>
          <cell r="AG26">
            <v>0.96552000000000004</v>
          </cell>
          <cell r="AH26">
            <v>0.97536999999999996</v>
          </cell>
          <cell r="AI26">
            <v>0.98412999999999995</v>
          </cell>
          <cell r="AJ26">
            <v>0.99145000000000005</v>
          </cell>
          <cell r="AK26">
            <v>0.99692000000000003</v>
          </cell>
          <cell r="AL26">
            <v>1</v>
          </cell>
        </row>
        <row r="27">
          <cell r="B27">
            <v>0.65573999999999999</v>
          </cell>
          <cell r="C27">
            <v>0.66383999999999999</v>
          </cell>
          <cell r="D27">
            <v>0.67212000000000005</v>
          </cell>
          <cell r="E27">
            <v>0.68057999999999996</v>
          </cell>
          <cell r="F27">
            <v>0.68922000000000005</v>
          </cell>
          <cell r="G27">
            <v>0.69804999999999995</v>
          </cell>
          <cell r="H27">
            <v>0.70706999999999998</v>
          </cell>
          <cell r="I27">
            <v>0.71628000000000003</v>
          </cell>
          <cell r="J27">
            <v>0.72568999999999995</v>
          </cell>
          <cell r="K27">
            <v>0.73529</v>
          </cell>
          <cell r="L27">
            <v>0.74509999999999998</v>
          </cell>
          <cell r="M27">
            <v>0.75509999999999999</v>
          </cell>
          <cell r="N27">
            <v>0.76531000000000005</v>
          </cell>
          <cell r="O27">
            <v>0.77571000000000001</v>
          </cell>
          <cell r="P27">
            <v>0.78630999999999995</v>
          </cell>
          <cell r="Q27">
            <v>0.79710000000000003</v>
          </cell>
          <cell r="R27">
            <v>0.80808000000000002</v>
          </cell>
          <cell r="S27">
            <v>0.81923999999999997</v>
          </cell>
          <cell r="T27">
            <v>0.83055999999999996</v>
          </cell>
          <cell r="U27">
            <v>0.84204000000000001</v>
          </cell>
          <cell r="V27">
            <v>0.85365999999999997</v>
          </cell>
          <cell r="W27">
            <v>0.86538000000000004</v>
          </cell>
          <cell r="X27">
            <v>0.87719000000000003</v>
          </cell>
          <cell r="Y27">
            <v>0.88905000000000001</v>
          </cell>
          <cell r="Z27">
            <v>0.90090000000000003</v>
          </cell>
          <cell r="AA27">
            <v>0.91269999999999996</v>
          </cell>
          <cell r="AB27">
            <v>0.92437000000000002</v>
          </cell>
          <cell r="AC27">
            <v>0.93583000000000005</v>
          </cell>
          <cell r="AD27">
            <v>0.94696999999999998</v>
          </cell>
          <cell r="AE27">
            <v>0.95765999999999996</v>
          </cell>
          <cell r="AF27">
            <v>0.96774000000000004</v>
          </cell>
          <cell r="AG27">
            <v>0.97701000000000005</v>
          </cell>
          <cell r="AH27">
            <v>0.98521999999999998</v>
          </cell>
          <cell r="AI27">
            <v>0.99206000000000005</v>
          </cell>
          <cell r="AJ27">
            <v>0.99714999999999998</v>
          </cell>
          <cell r="AK27">
            <v>1</v>
          </cell>
        </row>
        <row r="28">
          <cell r="B28">
            <v>0.67486000000000002</v>
          </cell>
          <cell r="C28">
            <v>0.68305000000000005</v>
          </cell>
          <cell r="D28">
            <v>0.69140999999999997</v>
          </cell>
          <cell r="E28">
            <v>0.69994000000000001</v>
          </cell>
          <cell r="F28">
            <v>0.70865</v>
          </cell>
          <cell r="G28">
            <v>0.71753</v>
          </cell>
          <cell r="H28">
            <v>0.72660000000000002</v>
          </cell>
          <cell r="I28">
            <v>0.73585</v>
          </cell>
          <cell r="J28">
            <v>0.74528000000000005</v>
          </cell>
          <cell r="K28">
            <v>0.75490000000000002</v>
          </cell>
          <cell r="L28">
            <v>0.76471</v>
          </cell>
          <cell r="M28">
            <v>0.77468999999999999</v>
          </cell>
          <cell r="N28">
            <v>0.78486</v>
          </cell>
          <cell r="O28">
            <v>0.79520999999999997</v>
          </cell>
          <cell r="P28">
            <v>0.80574000000000001</v>
          </cell>
          <cell r="Q28">
            <v>0.81642999999999999</v>
          </cell>
          <cell r="R28">
            <v>0.82726999999999995</v>
          </cell>
          <cell r="S28">
            <v>0.83826999999999996</v>
          </cell>
          <cell r="T28">
            <v>0.84938999999999998</v>
          </cell>
          <cell r="U28">
            <v>0.86063000000000001</v>
          </cell>
          <cell r="V28">
            <v>0.87195</v>
          </cell>
          <cell r="W28">
            <v>0.88332999999999995</v>
          </cell>
          <cell r="X28">
            <v>0.89473999999999998</v>
          </cell>
          <cell r="Y28">
            <v>0.90612000000000004</v>
          </cell>
          <cell r="Z28">
            <v>0.91742000000000001</v>
          </cell>
          <cell r="AA28">
            <v>0.92857000000000001</v>
          </cell>
          <cell r="AB28">
            <v>0.9395</v>
          </cell>
          <cell r="AC28">
            <v>0.95008999999999999</v>
          </cell>
          <cell r="AD28">
            <v>0.96023000000000003</v>
          </cell>
          <cell r="AE28">
            <v>0.96975999999999996</v>
          </cell>
          <cell r="AF28">
            <v>0.97848999999999997</v>
          </cell>
          <cell r="AG28">
            <v>0.98621000000000003</v>
          </cell>
          <cell r="AH28">
            <v>0.99260999999999999</v>
          </cell>
          <cell r="AI28">
            <v>0.99734999999999996</v>
          </cell>
          <cell r="AJ28">
            <v>1</v>
          </cell>
        </row>
        <row r="29">
          <cell r="B29">
            <v>0.69343999999999995</v>
          </cell>
          <cell r="C29">
            <v>0.70169000000000004</v>
          </cell>
          <cell r="D29">
            <v>0.71011000000000002</v>
          </cell>
          <cell r="E29">
            <v>0.71869000000000005</v>
          </cell>
          <cell r="F29">
            <v>0.72743999999999998</v>
          </cell>
          <cell r="G29">
            <v>0.73636000000000001</v>
          </cell>
          <cell r="H29">
            <v>0.74544999999999995</v>
          </cell>
          <cell r="I29">
            <v>0.75471999999999995</v>
          </cell>
          <cell r="J29">
            <v>0.76415</v>
          </cell>
          <cell r="K29">
            <v>0.77376</v>
          </cell>
          <cell r="L29">
            <v>0.78352999999999995</v>
          </cell>
          <cell r="M29">
            <v>0.79347000000000001</v>
          </cell>
          <cell r="N29">
            <v>0.80357000000000001</v>
          </cell>
          <cell r="O29">
            <v>0.81383000000000005</v>
          </cell>
          <cell r="P29">
            <v>0.82423999999999997</v>
          </cell>
          <cell r="Q29">
            <v>0.83477999999999997</v>
          </cell>
          <cell r="R29">
            <v>0.84545000000000003</v>
          </cell>
          <cell r="S29">
            <v>0.85624</v>
          </cell>
          <cell r="T29">
            <v>0.86711000000000005</v>
          </cell>
          <cell r="U29">
            <v>0.87805</v>
          </cell>
          <cell r="V29">
            <v>0.88902000000000003</v>
          </cell>
          <cell r="W29">
            <v>0.9</v>
          </cell>
          <cell r="X29">
            <v>0.91093000000000002</v>
          </cell>
          <cell r="Y29">
            <v>0.92176000000000002</v>
          </cell>
          <cell r="Z29">
            <v>0.93242999999999998</v>
          </cell>
          <cell r="AA29">
            <v>0.94286000000000003</v>
          </cell>
          <cell r="AB29">
            <v>0.95294000000000001</v>
          </cell>
          <cell r="AC29">
            <v>0.96257000000000004</v>
          </cell>
          <cell r="AD29">
            <v>0.97158999999999995</v>
          </cell>
          <cell r="AE29">
            <v>0.97984000000000004</v>
          </cell>
          <cell r="AF29">
            <v>0.98709999999999998</v>
          </cell>
          <cell r="AG29">
            <v>0.99309999999999998</v>
          </cell>
          <cell r="AH29">
            <v>0.99753999999999998</v>
          </cell>
          <cell r="AI29">
            <v>1</v>
          </cell>
        </row>
        <row r="30">
          <cell r="B30">
            <v>0.71148</v>
          </cell>
          <cell r="C30">
            <v>0.71977000000000002</v>
          </cell>
          <cell r="D30">
            <v>0.72823000000000004</v>
          </cell>
          <cell r="E30">
            <v>0.73684000000000005</v>
          </cell>
          <cell r="F30">
            <v>0.74560999999999999</v>
          </cell>
          <cell r="G30">
            <v>0.75455000000000005</v>
          </cell>
          <cell r="H30">
            <v>0.76363999999999999</v>
          </cell>
          <cell r="I30">
            <v>0.77288999999999997</v>
          </cell>
          <cell r="J30">
            <v>0.78229000000000004</v>
          </cell>
          <cell r="K30">
            <v>0.79186000000000001</v>
          </cell>
          <cell r="L30">
            <v>0.80157</v>
          </cell>
          <cell r="M30">
            <v>0.81142999999999998</v>
          </cell>
          <cell r="N30">
            <v>0.82142999999999999</v>
          </cell>
          <cell r="O30">
            <v>0.83155999999999997</v>
          </cell>
          <cell r="P30">
            <v>0.84180999999999995</v>
          </cell>
          <cell r="Q30">
            <v>0.85216999999999998</v>
          </cell>
          <cell r="R30">
            <v>0.86263000000000001</v>
          </cell>
          <cell r="S30">
            <v>0.87314999999999998</v>
          </cell>
          <cell r="T30">
            <v>0.88371999999999995</v>
          </cell>
          <cell r="U30">
            <v>0.89431000000000005</v>
          </cell>
          <cell r="V30">
            <v>0.90488000000000002</v>
          </cell>
          <cell r="W30">
            <v>0.91537999999999997</v>
          </cell>
          <cell r="X30">
            <v>0.92578000000000005</v>
          </cell>
          <cell r="Y30">
            <v>0.93598999999999999</v>
          </cell>
          <cell r="Z30">
            <v>0.94594999999999996</v>
          </cell>
          <cell r="AA30">
            <v>0.95555999999999996</v>
          </cell>
          <cell r="AB30">
            <v>0.96470999999999996</v>
          </cell>
          <cell r="AC30">
            <v>0.97326000000000001</v>
          </cell>
          <cell r="AD30">
            <v>0.98106000000000004</v>
          </cell>
          <cell r="AE30">
            <v>0.9879</v>
          </cell>
          <cell r="AF30">
            <v>0.99355000000000004</v>
          </cell>
          <cell r="AG30">
            <v>0.99770000000000003</v>
          </cell>
          <cell r="AH30">
            <v>1</v>
          </cell>
        </row>
        <row r="31">
          <cell r="B31">
            <v>0.72896000000000005</v>
          </cell>
          <cell r="C31">
            <v>0.73729</v>
          </cell>
          <cell r="D31">
            <v>0.74575999999999998</v>
          </cell>
          <cell r="E31">
            <v>0.75439000000000001</v>
          </cell>
          <cell r="F31">
            <v>0.76315999999999995</v>
          </cell>
          <cell r="G31">
            <v>0.77207999999999999</v>
          </cell>
          <cell r="H31">
            <v>0.78113999999999995</v>
          </cell>
          <cell r="I31">
            <v>0.79035999999999995</v>
          </cell>
          <cell r="J31">
            <v>0.79971000000000003</v>
          </cell>
          <cell r="K31">
            <v>0.80920000000000003</v>
          </cell>
          <cell r="L31">
            <v>0.81881999999999999</v>
          </cell>
          <cell r="M31">
            <v>0.82857000000000003</v>
          </cell>
          <cell r="N31">
            <v>0.83843999999999996</v>
          </cell>
          <cell r="O31">
            <v>0.84840000000000004</v>
          </cell>
          <cell r="P31">
            <v>0.85846</v>
          </cell>
          <cell r="Q31">
            <v>0.86860000000000004</v>
          </cell>
          <cell r="R31">
            <v>0.87878999999999996</v>
          </cell>
          <cell r="S31">
            <v>0.88900999999999997</v>
          </cell>
          <cell r="T31">
            <v>0.89922000000000002</v>
          </cell>
          <cell r="U31">
            <v>0.90941000000000005</v>
          </cell>
          <cell r="V31">
            <v>0.91951000000000005</v>
          </cell>
          <cell r="W31">
            <v>0.92949000000000004</v>
          </cell>
          <cell r="X31">
            <v>0.93927000000000005</v>
          </cell>
          <cell r="Y31">
            <v>0.94879000000000002</v>
          </cell>
          <cell r="Z31">
            <v>0.95796000000000003</v>
          </cell>
          <cell r="AA31">
            <v>0.96667000000000003</v>
          </cell>
          <cell r="AB31">
            <v>0.97479000000000005</v>
          </cell>
          <cell r="AC31">
            <v>0.98216999999999999</v>
          </cell>
          <cell r="AD31">
            <v>0.98863999999999996</v>
          </cell>
          <cell r="AE31">
            <v>0.99395</v>
          </cell>
          <cell r="AF31">
            <v>0.99785000000000001</v>
          </cell>
          <cell r="AG31">
            <v>1</v>
          </cell>
        </row>
        <row r="32">
          <cell r="B32">
            <v>0.74590000000000001</v>
          </cell>
          <cell r="C32">
            <v>0.75424000000000002</v>
          </cell>
          <cell r="D32">
            <v>0.76271</v>
          </cell>
          <cell r="E32">
            <v>0.77132000000000001</v>
          </cell>
          <cell r="F32">
            <v>0.78008</v>
          </cell>
          <cell r="G32">
            <v>0.78895999999999999</v>
          </cell>
          <cell r="H32">
            <v>0.79798000000000002</v>
          </cell>
          <cell r="I32">
            <v>0.80713000000000001</v>
          </cell>
          <cell r="J32">
            <v>0.81640000000000001</v>
          </cell>
          <cell r="K32">
            <v>0.82579000000000002</v>
          </cell>
          <cell r="L32">
            <v>0.83528999999999998</v>
          </cell>
          <cell r="M32">
            <v>0.84489999999999998</v>
          </cell>
          <cell r="N32">
            <v>0.85458999999999996</v>
          </cell>
          <cell r="O32">
            <v>0.86436000000000002</v>
          </cell>
          <cell r="P32">
            <v>0.87419000000000002</v>
          </cell>
          <cell r="Q32">
            <v>0.88405999999999996</v>
          </cell>
          <cell r="R32">
            <v>0.89393999999999996</v>
          </cell>
          <cell r="S32">
            <v>0.90381</v>
          </cell>
          <cell r="T32">
            <v>0.91361999999999999</v>
          </cell>
          <cell r="U32">
            <v>0.92334000000000005</v>
          </cell>
          <cell r="V32">
            <v>0.93293000000000004</v>
          </cell>
          <cell r="W32">
            <v>0.94230999999999998</v>
          </cell>
          <cell r="X32">
            <v>0.95142000000000004</v>
          </cell>
          <cell r="Y32">
            <v>0.96016999999999997</v>
          </cell>
          <cell r="Z32">
            <v>0.96847000000000005</v>
          </cell>
          <cell r="AA32">
            <v>0.97619</v>
          </cell>
          <cell r="AB32">
            <v>0.98319000000000001</v>
          </cell>
          <cell r="AC32">
            <v>0.98929999999999996</v>
          </cell>
          <cell r="AD32">
            <v>0.99431999999999998</v>
          </cell>
          <cell r="AE32">
            <v>0.99797999999999998</v>
          </cell>
          <cell r="AF32">
            <v>1</v>
          </cell>
        </row>
        <row r="33">
          <cell r="B33">
            <v>0.76229999999999998</v>
          </cell>
          <cell r="C33">
            <v>0.77061999999999997</v>
          </cell>
          <cell r="D33">
            <v>0.77907999999999999</v>
          </cell>
          <cell r="E33">
            <v>0.78766000000000003</v>
          </cell>
          <cell r="F33">
            <v>0.79637000000000002</v>
          </cell>
          <cell r="G33">
            <v>0.80518999999999996</v>
          </cell>
          <cell r="H33">
            <v>0.81413999999999997</v>
          </cell>
          <cell r="I33">
            <v>0.82320000000000004</v>
          </cell>
          <cell r="J33">
            <v>0.83237000000000005</v>
          </cell>
          <cell r="K33">
            <v>0.84162999999999999</v>
          </cell>
          <cell r="L33">
            <v>0.85097999999999996</v>
          </cell>
          <cell r="M33">
            <v>0.86041000000000001</v>
          </cell>
          <cell r="N33">
            <v>0.86990000000000001</v>
          </cell>
          <cell r="O33">
            <v>0.87943000000000005</v>
          </cell>
          <cell r="P33">
            <v>0.88898999999999995</v>
          </cell>
          <cell r="Q33">
            <v>0.89854999999999996</v>
          </cell>
          <cell r="R33">
            <v>0.90808</v>
          </cell>
          <cell r="S33">
            <v>0.91754999999999998</v>
          </cell>
          <cell r="T33">
            <v>0.92691000000000001</v>
          </cell>
          <cell r="U33">
            <v>0.93611999999999995</v>
          </cell>
          <cell r="V33">
            <v>0.94511999999999996</v>
          </cell>
          <cell r="W33">
            <v>0.95384999999999998</v>
          </cell>
          <cell r="X33">
            <v>0.96221000000000001</v>
          </cell>
          <cell r="Y33">
            <v>0.97013000000000005</v>
          </cell>
          <cell r="Z33">
            <v>0.97748000000000002</v>
          </cell>
          <cell r="AA33">
            <v>0.98412999999999995</v>
          </cell>
          <cell r="AB33">
            <v>0.98992000000000002</v>
          </cell>
          <cell r="AC33">
            <v>0.99465000000000003</v>
          </cell>
          <cell r="AD33">
            <v>0.99811000000000005</v>
          </cell>
          <cell r="AE33">
            <v>1</v>
          </cell>
        </row>
        <row r="34">
          <cell r="B34">
            <v>0.77814000000000005</v>
          </cell>
          <cell r="C34">
            <v>0.78644000000000003</v>
          </cell>
          <cell r="D34">
            <v>0.79486000000000001</v>
          </cell>
          <cell r="E34">
            <v>0.80339000000000005</v>
          </cell>
          <cell r="F34">
            <v>0.81203000000000003</v>
          </cell>
          <cell r="G34">
            <v>0.82077999999999995</v>
          </cell>
          <cell r="H34">
            <v>0.82962999999999998</v>
          </cell>
          <cell r="I34">
            <v>0.83857000000000004</v>
          </cell>
          <cell r="J34">
            <v>0.84760999999999997</v>
          </cell>
          <cell r="K34">
            <v>0.85670999999999997</v>
          </cell>
          <cell r="L34">
            <v>0.86587999999999998</v>
          </cell>
          <cell r="M34">
            <v>0.87509999999999999</v>
          </cell>
          <cell r="N34">
            <v>0.88434999999999997</v>
          </cell>
          <cell r="O34">
            <v>0.89361999999999997</v>
          </cell>
          <cell r="P34">
            <v>0.90286999999999995</v>
          </cell>
          <cell r="Q34">
            <v>0.91208</v>
          </cell>
          <cell r="R34">
            <v>0.92120999999999997</v>
          </cell>
          <cell r="S34">
            <v>0.93023</v>
          </cell>
          <cell r="T34">
            <v>0.93908999999999998</v>
          </cell>
          <cell r="U34">
            <v>0.94774000000000003</v>
          </cell>
          <cell r="V34">
            <v>0.95609999999999995</v>
          </cell>
          <cell r="W34">
            <v>0.96409999999999996</v>
          </cell>
          <cell r="X34">
            <v>0.97165999999999997</v>
          </cell>
          <cell r="Y34">
            <v>0.97865999999999997</v>
          </cell>
          <cell r="Z34">
            <v>0.98497999999999997</v>
          </cell>
          <cell r="AA34">
            <v>0.99048000000000003</v>
          </cell>
          <cell r="AB34">
            <v>0.99495999999999996</v>
          </cell>
          <cell r="AC34">
            <v>0.99822</v>
          </cell>
          <cell r="AD34">
            <v>1</v>
          </cell>
        </row>
        <row r="35">
          <cell r="B35">
            <v>0.79344000000000003</v>
          </cell>
          <cell r="C35">
            <v>0.80169000000000001</v>
          </cell>
          <cell r="D35">
            <v>0.81005000000000005</v>
          </cell>
          <cell r="E35">
            <v>0.81850999999999996</v>
          </cell>
          <cell r="F35">
            <v>0.82706999999999997</v>
          </cell>
          <cell r="G35">
            <v>0.83570999999999995</v>
          </cell>
          <cell r="H35">
            <v>0.84443999999999997</v>
          </cell>
          <cell r="I35">
            <v>0.85324999999999995</v>
          </cell>
          <cell r="J35">
            <v>0.86212</v>
          </cell>
          <cell r="K35">
            <v>0.87104000000000004</v>
          </cell>
          <cell r="L35">
            <v>0.88</v>
          </cell>
          <cell r="M35">
            <v>0.88897999999999999</v>
          </cell>
          <cell r="N35">
            <v>0.89795999999999998</v>
          </cell>
          <cell r="O35">
            <v>0.90690999999999999</v>
          </cell>
          <cell r="P35">
            <v>0.91581999999999997</v>
          </cell>
          <cell r="Q35">
            <v>0.92464000000000002</v>
          </cell>
          <cell r="R35">
            <v>0.93332999999999999</v>
          </cell>
          <cell r="S35">
            <v>0.94186000000000003</v>
          </cell>
          <cell r="T35">
            <v>0.95016999999999996</v>
          </cell>
          <cell r="U35">
            <v>0.95818999999999999</v>
          </cell>
          <cell r="V35">
            <v>0.96584999999999999</v>
          </cell>
          <cell r="W35">
            <v>0.97307999999999995</v>
          </cell>
          <cell r="X35">
            <v>0.97975999999999996</v>
          </cell>
          <cell r="Y35">
            <v>0.98577999999999999</v>
          </cell>
          <cell r="Z35">
            <v>0.99099000000000004</v>
          </cell>
          <cell r="AA35">
            <v>0.99524000000000001</v>
          </cell>
          <cell r="AB35">
            <v>0.99831999999999999</v>
          </cell>
          <cell r="AC35">
            <v>1</v>
          </cell>
        </row>
        <row r="36">
          <cell r="B36">
            <v>0.80820000000000003</v>
          </cell>
          <cell r="C36">
            <v>0.81637999999999999</v>
          </cell>
          <cell r="D36">
            <v>0.82465999999999995</v>
          </cell>
          <cell r="E36">
            <v>0.83303000000000005</v>
          </cell>
          <cell r="F36">
            <v>0.84148000000000001</v>
          </cell>
          <cell r="G36">
            <v>0.85</v>
          </cell>
          <cell r="H36">
            <v>0.85858999999999996</v>
          </cell>
          <cell r="I36">
            <v>0.86722999999999995</v>
          </cell>
          <cell r="J36">
            <v>0.87590999999999997</v>
          </cell>
          <cell r="K36">
            <v>0.88461999999999996</v>
          </cell>
          <cell r="L36">
            <v>0.89332999999999996</v>
          </cell>
          <cell r="M36">
            <v>0.90203999999999995</v>
          </cell>
          <cell r="N36">
            <v>0.91071000000000002</v>
          </cell>
          <cell r="O36">
            <v>0.91932999999999998</v>
          </cell>
          <cell r="P36">
            <v>0.92784</v>
          </cell>
          <cell r="Q36">
            <v>0.93623000000000001</v>
          </cell>
          <cell r="R36">
            <v>0.94443999999999995</v>
          </cell>
          <cell r="S36">
            <v>0.95243</v>
          </cell>
          <cell r="T36">
            <v>0.96013000000000004</v>
          </cell>
          <cell r="U36">
            <v>0.96748000000000001</v>
          </cell>
          <cell r="V36">
            <v>0.97438999999999998</v>
          </cell>
          <cell r="W36">
            <v>0.98077000000000003</v>
          </cell>
          <cell r="X36">
            <v>0.98650000000000004</v>
          </cell>
          <cell r="Y36">
            <v>0.99146999999999996</v>
          </cell>
          <cell r="Z36">
            <v>0.99550000000000005</v>
          </cell>
          <cell r="AA36">
            <v>0.99841000000000002</v>
          </cell>
          <cell r="AB36">
            <v>1</v>
          </cell>
        </row>
        <row r="37">
          <cell r="B37">
            <v>0.82240000000000002</v>
          </cell>
          <cell r="C37">
            <v>0.83050999999999997</v>
          </cell>
          <cell r="D37">
            <v>0.83869000000000005</v>
          </cell>
          <cell r="E37">
            <v>0.84694000000000003</v>
          </cell>
          <cell r="F37">
            <v>0.85526000000000002</v>
          </cell>
          <cell r="G37">
            <v>0.86363999999999996</v>
          </cell>
          <cell r="H37">
            <v>0.87204999999999999</v>
          </cell>
          <cell r="I37">
            <v>0.88049999999999995</v>
          </cell>
          <cell r="J37">
            <v>0.88897000000000004</v>
          </cell>
          <cell r="K37">
            <v>0.89744000000000002</v>
          </cell>
          <cell r="L37">
            <v>0.90588000000000002</v>
          </cell>
          <cell r="M37">
            <v>0.91429000000000005</v>
          </cell>
          <cell r="N37">
            <v>0.92262</v>
          </cell>
          <cell r="O37">
            <v>0.93084999999999996</v>
          </cell>
          <cell r="P37">
            <v>0.93894999999999995</v>
          </cell>
          <cell r="Q37">
            <v>0.94686000000000003</v>
          </cell>
          <cell r="R37">
            <v>0.95455000000000001</v>
          </cell>
          <cell r="S37">
            <v>0.96194999999999997</v>
          </cell>
          <cell r="T37">
            <v>0.96899000000000002</v>
          </cell>
          <cell r="U37">
            <v>0.97560999999999998</v>
          </cell>
          <cell r="V37">
            <v>0.98170999999999997</v>
          </cell>
          <cell r="W37">
            <v>0.98717999999999995</v>
          </cell>
          <cell r="X37">
            <v>0.9919</v>
          </cell>
          <cell r="Y37">
            <v>0.99573</v>
          </cell>
          <cell r="Z37">
            <v>0.99850000000000005</v>
          </cell>
          <cell r="AA37">
            <v>1</v>
          </cell>
        </row>
        <row r="38">
          <cell r="B38">
            <v>0.83606999999999998</v>
          </cell>
          <cell r="C38">
            <v>0.84406999999999999</v>
          </cell>
          <cell r="D38">
            <v>0.85213000000000005</v>
          </cell>
          <cell r="E38">
            <v>0.86024999999999996</v>
          </cell>
          <cell r="F38">
            <v>0.86841999999999997</v>
          </cell>
          <cell r="G38">
            <v>0.87661999999999995</v>
          </cell>
          <cell r="H38">
            <v>0.88485000000000003</v>
          </cell>
          <cell r="I38">
            <v>0.89307999999999998</v>
          </cell>
          <cell r="J38">
            <v>0.90130999999999994</v>
          </cell>
          <cell r="K38">
            <v>0.90949999999999998</v>
          </cell>
          <cell r="L38">
            <v>0.91764999999999997</v>
          </cell>
          <cell r="M38">
            <v>0.92571000000000003</v>
          </cell>
          <cell r="N38">
            <v>0.93367</v>
          </cell>
          <cell r="O38">
            <v>0.94149000000000005</v>
          </cell>
          <cell r="P38">
            <v>0.94911999999999996</v>
          </cell>
          <cell r="Q38">
            <v>0.95652000000000004</v>
          </cell>
          <cell r="R38">
            <v>0.96364000000000005</v>
          </cell>
          <cell r="S38">
            <v>0.97040000000000004</v>
          </cell>
          <cell r="T38">
            <v>0.97674000000000005</v>
          </cell>
          <cell r="U38">
            <v>0.98258000000000001</v>
          </cell>
          <cell r="V38">
            <v>0.98780000000000001</v>
          </cell>
          <cell r="W38">
            <v>0.99231000000000003</v>
          </cell>
          <cell r="X38">
            <v>0.99595</v>
          </cell>
          <cell r="Y38">
            <v>0.99858000000000002</v>
          </cell>
          <cell r="Z38">
            <v>1</v>
          </cell>
        </row>
        <row r="39">
          <cell r="B39">
            <v>0.84918000000000005</v>
          </cell>
          <cell r="C39">
            <v>0.85706000000000004</v>
          </cell>
          <cell r="D39">
            <v>0.86499000000000004</v>
          </cell>
          <cell r="E39">
            <v>0.87295999999999996</v>
          </cell>
          <cell r="F39">
            <v>0.88095000000000001</v>
          </cell>
          <cell r="G39">
            <v>0.88895999999999997</v>
          </cell>
          <cell r="H39">
            <v>0.89697000000000005</v>
          </cell>
          <cell r="I39">
            <v>0.90495999999999999</v>
          </cell>
          <cell r="J39">
            <v>0.91291999999999995</v>
          </cell>
          <cell r="K39">
            <v>0.92081000000000002</v>
          </cell>
          <cell r="L39">
            <v>0.92862999999999996</v>
          </cell>
          <cell r="M39">
            <v>0.93633</v>
          </cell>
          <cell r="N39">
            <v>0.94388000000000005</v>
          </cell>
          <cell r="O39">
            <v>0.95123999999999997</v>
          </cell>
          <cell r="P39">
            <v>0.95837000000000006</v>
          </cell>
          <cell r="Q39">
            <v>0.96521999999999997</v>
          </cell>
          <cell r="R39">
            <v>0.97172000000000003</v>
          </cell>
          <cell r="S39">
            <v>0.9778</v>
          </cell>
          <cell r="T39">
            <v>0.98338999999999999</v>
          </cell>
          <cell r="U39">
            <v>0.98838999999999999</v>
          </cell>
          <cell r="V39">
            <v>0.99268000000000001</v>
          </cell>
          <cell r="W39">
            <v>0.99614999999999998</v>
          </cell>
          <cell r="X39">
            <v>0.99865000000000004</v>
          </cell>
          <cell r="Y39">
            <v>1</v>
          </cell>
        </row>
        <row r="40">
          <cell r="B40">
            <v>0.86175000000000002</v>
          </cell>
          <cell r="C40">
            <v>0.86948999999999999</v>
          </cell>
          <cell r="D40">
            <v>0.87726000000000004</v>
          </cell>
          <cell r="E40">
            <v>0.88505999999999996</v>
          </cell>
          <cell r="F40">
            <v>0.89285999999999999</v>
          </cell>
          <cell r="G40">
            <v>0.90064999999999995</v>
          </cell>
          <cell r="H40">
            <v>0.90842000000000001</v>
          </cell>
          <cell r="I40">
            <v>0.91613999999999995</v>
          </cell>
          <cell r="J40">
            <v>0.92379999999999995</v>
          </cell>
          <cell r="K40">
            <v>0.93137000000000003</v>
          </cell>
          <cell r="L40">
            <v>0.93881999999999999</v>
          </cell>
          <cell r="M40">
            <v>0.94611999999999996</v>
          </cell>
          <cell r="N40">
            <v>0.95323000000000002</v>
          </cell>
          <cell r="O40">
            <v>0.96011000000000002</v>
          </cell>
          <cell r="P40">
            <v>0.9667</v>
          </cell>
          <cell r="Q40">
            <v>0.97294999999999998</v>
          </cell>
          <cell r="R40">
            <v>0.97879000000000005</v>
          </cell>
          <cell r="S40">
            <v>0.98414000000000001</v>
          </cell>
          <cell r="T40">
            <v>0.98892999999999998</v>
          </cell>
          <cell r="U40">
            <v>0.99302999999999997</v>
          </cell>
          <cell r="V40">
            <v>0.99634</v>
          </cell>
          <cell r="W40">
            <v>0.99872000000000005</v>
          </cell>
          <cell r="X40">
            <v>1</v>
          </cell>
        </row>
        <row r="41">
          <cell r="B41">
            <v>0.87377000000000005</v>
          </cell>
          <cell r="C41">
            <v>0.88136000000000003</v>
          </cell>
          <cell r="D41">
            <v>0.88895000000000002</v>
          </cell>
          <cell r="E41">
            <v>0.89654999999999996</v>
          </cell>
          <cell r="F41">
            <v>0.90414000000000005</v>
          </cell>
          <cell r="G41">
            <v>0.91169</v>
          </cell>
          <cell r="H41">
            <v>0.91918999999999995</v>
          </cell>
          <cell r="I41">
            <v>0.92662</v>
          </cell>
          <cell r="J41">
            <v>0.93396000000000001</v>
          </cell>
          <cell r="K41">
            <v>0.94118000000000002</v>
          </cell>
          <cell r="L41">
            <v>0.94823999999999997</v>
          </cell>
          <cell r="M41">
            <v>0.95509999999999995</v>
          </cell>
          <cell r="N41">
            <v>0.96172999999999997</v>
          </cell>
          <cell r="O41">
            <v>0.96809000000000001</v>
          </cell>
          <cell r="P41">
            <v>0.97409999999999997</v>
          </cell>
          <cell r="Q41">
            <v>0.97970999999999997</v>
          </cell>
          <cell r="R41">
            <v>0.98485</v>
          </cell>
          <cell r="S41">
            <v>0.98943000000000003</v>
          </cell>
          <cell r="T41">
            <v>0.99336000000000002</v>
          </cell>
          <cell r="U41">
            <v>0.99651999999999996</v>
          </cell>
          <cell r="V41">
            <v>0.99878</v>
          </cell>
          <cell r="W41">
            <v>1</v>
          </cell>
        </row>
        <row r="42">
          <cell r="B42">
            <v>0.88524999999999998</v>
          </cell>
          <cell r="C42">
            <v>0.89266000000000001</v>
          </cell>
          <cell r="D42">
            <v>0.90005999999999997</v>
          </cell>
          <cell r="E42">
            <v>0.90744000000000002</v>
          </cell>
          <cell r="F42">
            <v>0.91478999999999999</v>
          </cell>
          <cell r="G42">
            <v>0.92208000000000001</v>
          </cell>
          <cell r="H42">
            <v>0.92928999999999995</v>
          </cell>
          <cell r="I42">
            <v>0.93640999999999996</v>
          </cell>
          <cell r="J42">
            <v>0.94340000000000002</v>
          </cell>
          <cell r="K42">
            <v>0.95023000000000002</v>
          </cell>
          <cell r="L42">
            <v>0.95686000000000004</v>
          </cell>
          <cell r="M42">
            <v>0.96326999999999996</v>
          </cell>
          <cell r="N42">
            <v>0.96938999999999997</v>
          </cell>
          <cell r="O42">
            <v>0.97518000000000005</v>
          </cell>
          <cell r="P42">
            <v>0.98057000000000005</v>
          </cell>
          <cell r="Q42">
            <v>0.98551</v>
          </cell>
          <cell r="R42">
            <v>0.9899</v>
          </cell>
          <cell r="S42">
            <v>0.99365999999999999</v>
          </cell>
          <cell r="T42">
            <v>0.99668000000000001</v>
          </cell>
          <cell r="U42">
            <v>0.99883999999999995</v>
          </cell>
          <cell r="V42">
            <v>1</v>
          </cell>
        </row>
        <row r="43">
          <cell r="B43">
            <v>0.89617000000000002</v>
          </cell>
          <cell r="C43">
            <v>0.90339000000000003</v>
          </cell>
          <cell r="D43">
            <v>0.91057999999999995</v>
          </cell>
          <cell r="E43">
            <v>0.91773000000000005</v>
          </cell>
          <cell r="F43">
            <v>0.92481000000000002</v>
          </cell>
          <cell r="G43">
            <v>0.93181999999999998</v>
          </cell>
          <cell r="H43">
            <v>0.93872</v>
          </cell>
          <cell r="I43">
            <v>0.94549000000000005</v>
          </cell>
          <cell r="J43">
            <v>0.95209999999999995</v>
          </cell>
          <cell r="K43">
            <v>0.95852000000000004</v>
          </cell>
          <cell r="L43">
            <v>0.96470999999999996</v>
          </cell>
          <cell r="M43">
            <v>0.97060999999999997</v>
          </cell>
          <cell r="N43">
            <v>0.97619</v>
          </cell>
          <cell r="O43">
            <v>0.98138000000000003</v>
          </cell>
          <cell r="P43">
            <v>0.98612</v>
          </cell>
          <cell r="Q43">
            <v>0.99034</v>
          </cell>
          <cell r="R43">
            <v>0.99394000000000005</v>
          </cell>
          <cell r="S43">
            <v>0.99682999999999999</v>
          </cell>
          <cell r="T43">
            <v>0.99888999999999994</v>
          </cell>
          <cell r="U43">
            <v>1</v>
          </cell>
        </row>
        <row r="44">
          <cell r="B44">
            <v>0.90656000000000003</v>
          </cell>
          <cell r="C44">
            <v>0.91356000000000004</v>
          </cell>
          <cell r="D44">
            <v>0.92051000000000005</v>
          </cell>
          <cell r="E44">
            <v>0.9274</v>
          </cell>
          <cell r="F44">
            <v>0.93420999999999998</v>
          </cell>
          <cell r="G44">
            <v>0.94091000000000002</v>
          </cell>
          <cell r="H44">
            <v>0.94747000000000003</v>
          </cell>
          <cell r="I44">
            <v>0.95387999999999995</v>
          </cell>
          <cell r="J44">
            <v>0.96009</v>
          </cell>
          <cell r="K44">
            <v>0.96606000000000003</v>
          </cell>
          <cell r="L44">
            <v>0.97175999999999996</v>
          </cell>
          <cell r="M44">
            <v>0.97714000000000001</v>
          </cell>
          <cell r="N44">
            <v>0.98214000000000001</v>
          </cell>
          <cell r="O44">
            <v>0.98670000000000002</v>
          </cell>
          <cell r="P44">
            <v>0.99075000000000002</v>
          </cell>
          <cell r="Q44">
            <v>0.99419999999999997</v>
          </cell>
          <cell r="R44">
            <v>0.99697000000000002</v>
          </cell>
          <cell r="S44">
            <v>0.99894000000000005</v>
          </cell>
          <cell r="T44">
            <v>1</v>
          </cell>
        </row>
        <row r="45">
          <cell r="B45">
            <v>0.91639000000000004</v>
          </cell>
          <cell r="C45">
            <v>0.92315999999999998</v>
          </cell>
          <cell r="D45">
            <v>0.92986999999999997</v>
          </cell>
          <cell r="E45">
            <v>0.93647999999999998</v>
          </cell>
          <cell r="F45">
            <v>0.94298000000000004</v>
          </cell>
          <cell r="G45">
            <v>0.94935000000000003</v>
          </cell>
          <cell r="H45">
            <v>0.95555999999999996</v>
          </cell>
          <cell r="I45">
            <v>0.96157000000000004</v>
          </cell>
          <cell r="J45">
            <v>0.96733999999999998</v>
          </cell>
          <cell r="K45">
            <v>0.97284999999999999</v>
          </cell>
          <cell r="L45">
            <v>0.97804000000000002</v>
          </cell>
          <cell r="M45">
            <v>0.98285999999999996</v>
          </cell>
          <cell r="N45">
            <v>0.98724000000000001</v>
          </cell>
          <cell r="O45">
            <v>0.99112999999999996</v>
          </cell>
          <cell r="P45">
            <v>0.99444999999999995</v>
          </cell>
          <cell r="Q45">
            <v>0.99709999999999999</v>
          </cell>
          <cell r="R45">
            <v>0.99899000000000004</v>
          </cell>
          <cell r="S45">
            <v>1</v>
          </cell>
        </row>
        <row r="46">
          <cell r="B46">
            <v>0.92567999999999995</v>
          </cell>
          <cell r="C46">
            <v>0.93220000000000003</v>
          </cell>
          <cell r="D46">
            <v>0.93862999999999996</v>
          </cell>
          <cell r="E46">
            <v>0.94494999999999996</v>
          </cell>
          <cell r="F46">
            <v>0.95113000000000003</v>
          </cell>
          <cell r="G46">
            <v>0.95713999999999999</v>
          </cell>
          <cell r="H46">
            <v>0.96296000000000004</v>
          </cell>
          <cell r="I46">
            <v>0.96855000000000002</v>
          </cell>
          <cell r="J46">
            <v>0.97387999999999997</v>
          </cell>
          <cell r="K46">
            <v>0.97887999999999997</v>
          </cell>
          <cell r="L46">
            <v>0.98353000000000002</v>
          </cell>
          <cell r="M46">
            <v>0.98775999999999997</v>
          </cell>
          <cell r="N46">
            <v>0.99150000000000005</v>
          </cell>
          <cell r="O46">
            <v>0.99468000000000001</v>
          </cell>
          <cell r="P46">
            <v>0.99722</v>
          </cell>
          <cell r="Q46">
            <v>0.99902999999999997</v>
          </cell>
          <cell r="R46">
            <v>1</v>
          </cell>
        </row>
        <row r="47">
          <cell r="B47">
            <v>0.93442999999999998</v>
          </cell>
          <cell r="C47">
            <v>0.94067999999999996</v>
          </cell>
          <cell r="D47">
            <v>0.94681000000000004</v>
          </cell>
          <cell r="E47">
            <v>0.95281000000000005</v>
          </cell>
          <cell r="F47">
            <v>0.95865</v>
          </cell>
          <cell r="G47">
            <v>0.96428999999999998</v>
          </cell>
          <cell r="H47">
            <v>0.96970000000000001</v>
          </cell>
          <cell r="I47">
            <v>0.97484000000000004</v>
          </cell>
          <cell r="J47">
            <v>0.97968</v>
          </cell>
          <cell r="K47">
            <v>0.98416000000000003</v>
          </cell>
          <cell r="L47">
            <v>0.98824000000000001</v>
          </cell>
          <cell r="M47">
            <v>0.99184000000000005</v>
          </cell>
          <cell r="N47">
            <v>0.99490000000000001</v>
          </cell>
          <cell r="O47">
            <v>0.99734</v>
          </cell>
          <cell r="P47">
            <v>0.99907000000000001</v>
          </cell>
          <cell r="Q47">
            <v>1</v>
          </cell>
        </row>
        <row r="48">
          <cell r="B48">
            <v>0.94262000000000001</v>
          </cell>
          <cell r="C48">
            <v>0.94859000000000004</v>
          </cell>
          <cell r="D48">
            <v>0.95440999999999998</v>
          </cell>
          <cell r="E48">
            <v>0.96006999999999998</v>
          </cell>
          <cell r="F48">
            <v>0.96553999999999995</v>
          </cell>
          <cell r="G48">
            <v>0.97077999999999998</v>
          </cell>
          <cell r="H48">
            <v>0.97575999999999996</v>
          </cell>
          <cell r="I48">
            <v>0.98043000000000002</v>
          </cell>
          <cell r="J48">
            <v>0.98475999999999997</v>
          </cell>
          <cell r="K48">
            <v>0.98868999999999996</v>
          </cell>
          <cell r="L48">
            <v>0.99216000000000004</v>
          </cell>
          <cell r="M48">
            <v>0.99509999999999998</v>
          </cell>
          <cell r="N48">
            <v>0.99744999999999995</v>
          </cell>
          <cell r="O48">
            <v>0.99911000000000005</v>
          </cell>
          <cell r="P48">
            <v>1</v>
          </cell>
        </row>
        <row r="49">
          <cell r="B49">
            <v>0.95026999999999995</v>
          </cell>
          <cell r="C49">
            <v>0.95592999999999995</v>
          </cell>
          <cell r="D49">
            <v>0.96143000000000001</v>
          </cell>
          <cell r="E49">
            <v>0.96672999999999998</v>
          </cell>
          <cell r="F49">
            <v>0.9718</v>
          </cell>
          <cell r="G49">
            <v>0.97662000000000004</v>
          </cell>
          <cell r="H49">
            <v>0.98114000000000001</v>
          </cell>
          <cell r="I49">
            <v>0.98531999999999997</v>
          </cell>
          <cell r="J49">
            <v>0.98911000000000004</v>
          </cell>
          <cell r="K49">
            <v>0.99246000000000001</v>
          </cell>
          <cell r="L49">
            <v>0.99529000000000001</v>
          </cell>
          <cell r="M49">
            <v>0.99755000000000005</v>
          </cell>
          <cell r="N49">
            <v>0.99914999999999998</v>
          </cell>
          <cell r="O49">
            <v>1</v>
          </cell>
        </row>
        <row r="50">
          <cell r="B50">
            <v>0.95738000000000001</v>
          </cell>
          <cell r="C50">
            <v>0.96270999999999995</v>
          </cell>
          <cell r="D50">
            <v>0.96786000000000005</v>
          </cell>
          <cell r="E50">
            <v>0.97277999999999998</v>
          </cell>
          <cell r="F50">
            <v>0.97743999999999998</v>
          </cell>
          <cell r="G50">
            <v>0.98182000000000003</v>
          </cell>
          <cell r="H50">
            <v>0.98585999999999996</v>
          </cell>
          <cell r="I50">
            <v>0.98951999999999996</v>
          </cell>
          <cell r="J50">
            <v>0.99273999999999996</v>
          </cell>
          <cell r="K50">
            <v>0.99548000000000003</v>
          </cell>
          <cell r="L50">
            <v>0.99765000000000004</v>
          </cell>
          <cell r="M50">
            <v>0.99917999999999996</v>
          </cell>
          <cell r="N50">
            <v>1</v>
          </cell>
        </row>
        <row r="51">
          <cell r="B51">
            <v>0.96392999999999995</v>
          </cell>
          <cell r="C51">
            <v>0.96892999999999996</v>
          </cell>
          <cell r="D51">
            <v>0.97370000000000001</v>
          </cell>
          <cell r="E51">
            <v>0.97821999999999998</v>
          </cell>
          <cell r="F51">
            <v>0.98246</v>
          </cell>
          <cell r="G51">
            <v>0.98636000000000001</v>
          </cell>
          <cell r="H51">
            <v>0.9899</v>
          </cell>
          <cell r="I51">
            <v>0.99300999999999995</v>
          </cell>
          <cell r="J51">
            <v>0.99565000000000003</v>
          </cell>
          <cell r="K51">
            <v>0.99773999999999996</v>
          </cell>
          <cell r="L51">
            <v>0.99922</v>
          </cell>
          <cell r="M51">
            <v>1</v>
          </cell>
        </row>
        <row r="52">
          <cell r="B52">
            <v>0.96994999999999998</v>
          </cell>
          <cell r="C52">
            <v>0.97458</v>
          </cell>
          <cell r="D52">
            <v>0.97896000000000005</v>
          </cell>
          <cell r="E52">
            <v>0.98306000000000004</v>
          </cell>
          <cell r="F52">
            <v>0.98684000000000005</v>
          </cell>
          <cell r="G52">
            <v>0.99026000000000003</v>
          </cell>
          <cell r="H52">
            <v>0.99326999999999999</v>
          </cell>
          <cell r="I52">
            <v>0.99580999999999997</v>
          </cell>
          <cell r="J52">
            <v>0.99782000000000004</v>
          </cell>
          <cell r="K52">
            <v>0.99924999999999997</v>
          </cell>
          <cell r="L52">
            <v>1</v>
          </cell>
        </row>
        <row r="53">
          <cell r="B53">
            <v>0.97541</v>
          </cell>
          <cell r="C53">
            <v>0.97965999999999998</v>
          </cell>
          <cell r="D53">
            <v>0.98363999999999996</v>
          </cell>
          <cell r="E53">
            <v>0.98729999999999996</v>
          </cell>
          <cell r="F53">
            <v>0.99060000000000004</v>
          </cell>
          <cell r="G53">
            <v>0.99351</v>
          </cell>
          <cell r="H53">
            <v>0.99595999999999996</v>
          </cell>
          <cell r="I53">
            <v>0.99790000000000001</v>
          </cell>
          <cell r="J53">
            <v>0.99926999999999999</v>
          </cell>
          <cell r="K53">
            <v>1</v>
          </cell>
        </row>
        <row r="54">
          <cell r="B54">
            <v>0.98033000000000003</v>
          </cell>
          <cell r="C54">
            <v>0.98418000000000005</v>
          </cell>
          <cell r="D54">
            <v>0.98773</v>
          </cell>
          <cell r="E54">
            <v>0.99092999999999998</v>
          </cell>
          <cell r="F54">
            <v>0.99373</v>
          </cell>
          <cell r="G54">
            <v>0.99609999999999999</v>
          </cell>
          <cell r="H54">
            <v>0.99797999999999998</v>
          </cell>
          <cell r="I54">
            <v>0.99929999999999997</v>
          </cell>
          <cell r="J54">
            <v>1</v>
          </cell>
        </row>
        <row r="55">
          <cell r="B55">
            <v>0.98470000000000002</v>
          </cell>
          <cell r="C55">
            <v>0.98814000000000002</v>
          </cell>
          <cell r="D55">
            <v>0.99123000000000006</v>
          </cell>
          <cell r="E55">
            <v>0.99395</v>
          </cell>
          <cell r="F55">
            <v>0.99624000000000001</v>
          </cell>
          <cell r="G55">
            <v>0.99804999999999999</v>
          </cell>
          <cell r="H55">
            <v>0.99933000000000005</v>
          </cell>
          <cell r="I55">
            <v>1</v>
          </cell>
        </row>
        <row r="56">
          <cell r="B56">
            <v>0.98851999999999995</v>
          </cell>
          <cell r="C56">
            <v>0.99153000000000002</v>
          </cell>
          <cell r="D56">
            <v>0.99416000000000004</v>
          </cell>
          <cell r="E56">
            <v>0.99636999999999998</v>
          </cell>
          <cell r="F56">
            <v>0.99812000000000001</v>
          </cell>
          <cell r="G56">
            <v>0.99934999999999996</v>
          </cell>
          <cell r="H56">
            <v>1</v>
          </cell>
        </row>
        <row r="57">
          <cell r="B57">
            <v>0.99180000000000001</v>
          </cell>
          <cell r="C57">
            <v>0.99434999999999996</v>
          </cell>
          <cell r="D57">
            <v>0.99648999999999999</v>
          </cell>
          <cell r="E57">
            <v>0.99819000000000002</v>
          </cell>
          <cell r="F57">
            <v>0.99936999999999998</v>
          </cell>
          <cell r="G57">
            <v>1</v>
          </cell>
        </row>
        <row r="58">
          <cell r="B58">
            <v>0.99453999999999998</v>
          </cell>
          <cell r="C58">
            <v>0.99661</v>
          </cell>
          <cell r="D58">
            <v>0.99824999999999997</v>
          </cell>
          <cell r="E58">
            <v>0.99939999999999996</v>
          </cell>
          <cell r="F58">
            <v>1</v>
          </cell>
        </row>
        <row r="59">
          <cell r="B59">
            <v>0.99672000000000005</v>
          </cell>
          <cell r="C59">
            <v>0.99831000000000003</v>
          </cell>
          <cell r="D59">
            <v>0.99941999999999998</v>
          </cell>
          <cell r="E59">
            <v>1</v>
          </cell>
        </row>
        <row r="60">
          <cell r="B60">
            <v>0.99836000000000003</v>
          </cell>
          <cell r="C60">
            <v>0.99944</v>
          </cell>
          <cell r="D60">
            <v>1</v>
          </cell>
        </row>
        <row r="61">
          <cell r="B61">
            <v>0.99944999999999995</v>
          </cell>
          <cell r="C61">
            <v>1</v>
          </cell>
        </row>
        <row r="62">
          <cell r="B62">
            <v>1</v>
          </cell>
        </row>
      </sheetData>
      <sheetData sheetId="2" refreshError="1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WP Index"/>
      <sheetName val="Standard Rates"/>
      <sheetName val="Debtors"/>
      <sheetName val="Bank Rec"/>
      <sheetName val="Prepayments"/>
      <sheetName val="Livestock"/>
      <sheetName val="Trading Stock"/>
      <sheetName val="Borrowing Costs"/>
      <sheetName val="Low Value Pool"/>
      <sheetName val="Capital Asset Schedule"/>
      <sheetName val="Building Write-Off"/>
      <sheetName val="Water Improvements Write-Off"/>
      <sheetName val="Mains Electricity Write-Off"/>
      <sheetName val="Div7A Loan"/>
      <sheetName val="Creditors"/>
      <sheetName val="AWB Loans"/>
      <sheetName val="GST Rec"/>
      <sheetName val="Tax Provision"/>
      <sheetName val="HP Schedule"/>
      <sheetName val="Interest Calc"/>
      <sheetName val="Loan Schedule"/>
      <sheetName val="Interest Deduct"/>
      <sheetName val="Farm Income Split"/>
      <sheetName val="Inv Income"/>
      <sheetName val="Dividend Summary"/>
      <sheetName val="Rental"/>
      <sheetName val="Pvt Use"/>
      <sheetName val="Motor Vec WP"/>
      <sheetName val="Car FBT Stat method"/>
      <sheetName val="Car FBT Op Cost"/>
      <sheetName val="Wages Reconciliation"/>
      <sheetName val="STS Turnover"/>
      <sheetName val="Franking Account"/>
      <sheetName val="Income Est"/>
      <sheetName val="Total Debt"/>
      <sheetName val="FMD's"/>
      <sheetName val="Drought Write-Off (s385-105)"/>
      <sheetName val="Drought Write-Off (s385-110)"/>
      <sheetName val="Template Workpaper"/>
      <sheetName val="File Index"/>
      <sheetName val="Plan - Comp - Non Ind"/>
      <sheetName val="Billing Budget"/>
      <sheetName val="Start Checklist"/>
      <sheetName val="WCWDFY"/>
      <sheetName val="Review Issues Sheet"/>
      <sheetName val="Client File Note"/>
      <sheetName val="Tax Rec Company"/>
      <sheetName val="Tax Rec Trust"/>
      <sheetName val="Tax Rec Partnership"/>
      <sheetName val="Company Checklist"/>
      <sheetName val="Trust Checklist"/>
      <sheetName val="Partnership Checklist"/>
      <sheetName val="End Of Engagement Checklist"/>
      <sheetName val="Client Risk Assessment"/>
      <sheetName val="Checklist - At-Call Loan"/>
      <sheetName val="Checklist - Div7A"/>
      <sheetName val="Checklist - FTE"/>
      <sheetName val="Checklist - P'ship Doco"/>
      <sheetName val="Checklist - Trust Deed"/>
      <sheetName val="Checklist - Workers Comp"/>
      <sheetName val="Checklist - Service Entity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ile Index"/>
      <sheetName val="Standard Rates"/>
      <sheetName val="Billing Budget"/>
      <sheetName val="Start Checklist"/>
      <sheetName val="Carry Forward Notes - This Year"/>
      <sheetName val="Carry Forward Notes - Next Year"/>
      <sheetName val="ITR Cover Sheet"/>
      <sheetName val="Printing Checklist"/>
      <sheetName val="WCWDFY"/>
      <sheetName val="Client File Note"/>
      <sheetName val="Review Issues Sheet"/>
      <sheetName val="Tax Advice"/>
      <sheetName val="QA Checklist"/>
      <sheetName val="End Of Engagement Checklist"/>
      <sheetName val="Client Risk Assessment"/>
      <sheetName val="Checklist - At-Call Loan"/>
      <sheetName val="Checklist - Div7A"/>
      <sheetName val="Checklist - FTE"/>
      <sheetName val="Checklist - P'ship Doco"/>
      <sheetName val="Checklist - Trust Deed"/>
      <sheetName val="Checklist - Workers Comp"/>
      <sheetName val="Checklist - Service Entity"/>
      <sheetName val="Checklist - PSI"/>
      <sheetName val="Tax Rec"/>
      <sheetName val="STS Worksheet"/>
    </sheetNames>
    <sheetDataSet>
      <sheetData sheetId="0">
        <row r="9">
          <cell r="D9" t="str">
            <v>C - COMPANY</v>
          </cell>
        </row>
        <row r="33">
          <cell r="D33" t="str">
            <v>STS WORKSHEET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/>
      <sheetData sheetId="13" refreshError="1"/>
      <sheetData sheetId="14" refreshError="1"/>
      <sheetData sheetId="15" refreshError="1"/>
      <sheetData sheetId="16" refreshError="1"/>
      <sheetData sheetId="17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6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ED56E046-D17B-477B-9A7B-D1979871A211}">
  <we:reference id="e463e8e1-d114-4fcf-997c-cfff693b9d75" version="1.0.2.2" store="EXCatalog" storeType="EXCatalog"/>
  <we:alternateReferences>
    <we:reference id="WA104381841" version="1.0.2.2" store="en-AU" storeType="OMEX"/>
  </we:alternateReferences>
  <we:properties>
    <we:property name="Office.AutoShowTaskpaneWithDocument" value="true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www.ato.gov.au/individuals-and-families/investments-and-assets/capital-gains-tax/calculating-your-cgt/cost-base-of-asset" TargetMode="Externa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P31"/>
  <sheetViews>
    <sheetView zoomScale="85" zoomScaleNormal="85" workbookViewId="0">
      <selection activeCell="C4" sqref="C4"/>
    </sheetView>
  </sheetViews>
  <sheetFormatPr defaultColWidth="9.140625" defaultRowHeight="15" x14ac:dyDescent="0.25"/>
  <cols>
    <col min="1" max="1" width="14.28515625" style="66" customWidth="1"/>
    <col min="2" max="2" width="8.7109375" style="66" customWidth="1"/>
    <col min="3" max="3" width="54.42578125" style="66" customWidth="1"/>
    <col min="4" max="16384" width="9.140625" style="66"/>
  </cols>
  <sheetData>
    <row r="1" spans="1:16" s="105" customFormat="1" ht="21" x14ac:dyDescent="0.35">
      <c r="A1" s="552" t="s">
        <v>4</v>
      </c>
      <c r="B1" s="552"/>
      <c r="C1" s="552"/>
      <c r="D1" s="552"/>
    </row>
    <row r="2" spans="1:16" s="105" customFormat="1" x14ac:dyDescent="0.25">
      <c r="A2" s="554"/>
      <c r="B2" s="554"/>
    </row>
    <row r="3" spans="1:16" s="105" customFormat="1" ht="15.75" x14ac:dyDescent="0.25">
      <c r="A3" s="553" t="s">
        <v>0</v>
      </c>
      <c r="B3" s="553"/>
      <c r="C3" s="108">
        <f>'Summary - 1 Client name '!C3</f>
        <v>0</v>
      </c>
      <c r="D3" s="107"/>
    </row>
    <row r="4" spans="1:16" s="105" customFormat="1" ht="15.75" x14ac:dyDescent="0.25">
      <c r="A4" s="553" t="s">
        <v>1</v>
      </c>
      <c r="B4" s="553"/>
      <c r="C4" s="109">
        <f>'Summary - 1 Client name '!C4</f>
        <v>46203</v>
      </c>
      <c r="D4" s="106"/>
      <c r="E4" s="114"/>
      <c r="O4" s="115"/>
    </row>
    <row r="5" spans="1:16" s="105" customFormat="1" ht="15.75" x14ac:dyDescent="0.25">
      <c r="A5" s="553" t="s">
        <v>2</v>
      </c>
      <c r="B5" s="553"/>
      <c r="C5" s="106" t="s">
        <v>5</v>
      </c>
      <c r="D5" s="107"/>
    </row>
    <row r="6" spans="1:16" x14ac:dyDescent="0.25">
      <c r="O6" s="67"/>
    </row>
    <row r="7" spans="1:16" ht="15.75" customHeight="1" x14ac:dyDescent="0.25">
      <c r="B7" s="523"/>
      <c r="C7" s="524" t="s">
        <v>5</v>
      </c>
      <c r="D7" s="91"/>
      <c r="E7" s="92"/>
    </row>
    <row r="8" spans="1:16" x14ac:dyDescent="0.25">
      <c r="B8" s="117">
        <v>1</v>
      </c>
      <c r="C8" s="94"/>
    </row>
    <row r="9" spans="1:16" x14ac:dyDescent="0.25">
      <c r="B9" s="117">
        <v>2</v>
      </c>
      <c r="C9" s="276"/>
    </row>
    <row r="10" spans="1:16" x14ac:dyDescent="0.25">
      <c r="B10" s="117">
        <v>3</v>
      </c>
      <c r="C10" s="94"/>
      <c r="P10" s="67"/>
    </row>
    <row r="11" spans="1:16" x14ac:dyDescent="0.25">
      <c r="B11" s="117">
        <v>4</v>
      </c>
      <c r="C11" s="94"/>
    </row>
    <row r="12" spans="1:16" x14ac:dyDescent="0.25">
      <c r="B12" s="117">
        <v>5</v>
      </c>
      <c r="C12" s="94"/>
    </row>
    <row r="13" spans="1:16" x14ac:dyDescent="0.25">
      <c r="B13" s="117">
        <v>6</v>
      </c>
      <c r="C13" s="94"/>
    </row>
    <row r="14" spans="1:16" x14ac:dyDescent="0.25">
      <c r="B14" s="117">
        <v>7</v>
      </c>
      <c r="C14" s="94"/>
    </row>
    <row r="15" spans="1:16" x14ac:dyDescent="0.25">
      <c r="B15" s="117">
        <v>8</v>
      </c>
      <c r="C15" s="94"/>
    </row>
    <row r="16" spans="1:16" x14ac:dyDescent="0.25">
      <c r="B16" s="117">
        <v>9</v>
      </c>
      <c r="C16" s="94"/>
    </row>
    <row r="17" spans="2:3" x14ac:dyDescent="0.25">
      <c r="B17" s="117">
        <v>10</v>
      </c>
      <c r="C17" s="94"/>
    </row>
    <row r="18" spans="2:3" x14ac:dyDescent="0.25">
      <c r="B18" s="93"/>
      <c r="C18" s="93"/>
    </row>
    <row r="19" spans="2:3" x14ac:dyDescent="0.25">
      <c r="B19" s="93"/>
      <c r="C19" s="93"/>
    </row>
    <row r="20" spans="2:3" x14ac:dyDescent="0.25">
      <c r="B20" s="93"/>
      <c r="C20" s="93"/>
    </row>
    <row r="21" spans="2:3" x14ac:dyDescent="0.25">
      <c r="B21" s="93"/>
      <c r="C21" s="93"/>
    </row>
    <row r="22" spans="2:3" x14ac:dyDescent="0.25">
      <c r="B22" s="93"/>
      <c r="C22" s="93"/>
    </row>
    <row r="23" spans="2:3" x14ac:dyDescent="0.25">
      <c r="B23" s="93"/>
      <c r="C23" s="93"/>
    </row>
    <row r="24" spans="2:3" x14ac:dyDescent="0.25">
      <c r="B24" s="93"/>
      <c r="C24" s="93"/>
    </row>
    <row r="25" spans="2:3" x14ac:dyDescent="0.25">
      <c r="B25" s="93"/>
      <c r="C25" s="93"/>
    </row>
    <row r="26" spans="2:3" x14ac:dyDescent="0.25">
      <c r="B26" s="93"/>
      <c r="C26" s="93"/>
    </row>
    <row r="27" spans="2:3" x14ac:dyDescent="0.25">
      <c r="B27" s="93"/>
      <c r="C27" s="93"/>
    </row>
    <row r="28" spans="2:3" x14ac:dyDescent="0.25">
      <c r="B28" s="93"/>
      <c r="C28" s="93"/>
    </row>
    <row r="29" spans="2:3" x14ac:dyDescent="0.25">
      <c r="B29" s="93"/>
      <c r="C29" s="93"/>
    </row>
    <row r="30" spans="2:3" x14ac:dyDescent="0.25">
      <c r="B30" s="93"/>
      <c r="C30" s="93"/>
    </row>
    <row r="31" spans="2:3" x14ac:dyDescent="0.25">
      <c r="B31" s="93"/>
      <c r="C31" s="93"/>
    </row>
  </sheetData>
  <mergeCells count="5">
    <mergeCell ref="A1:D1"/>
    <mergeCell ref="A3:B3"/>
    <mergeCell ref="A4:B4"/>
    <mergeCell ref="A5:B5"/>
    <mergeCell ref="A2:B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I33"/>
  <sheetViews>
    <sheetView zoomScale="85" zoomScaleNormal="85" workbookViewId="0">
      <selection activeCell="C26" sqref="C26"/>
    </sheetView>
  </sheetViews>
  <sheetFormatPr defaultColWidth="9.140625" defaultRowHeight="15" x14ac:dyDescent="0.25"/>
  <cols>
    <col min="1" max="1" width="21.5703125" style="66" customWidth="1"/>
    <col min="2" max="2" width="37.42578125" style="66" bestFit="1" customWidth="1"/>
    <col min="3" max="3" width="132.28515625" style="66" bestFit="1" customWidth="1"/>
    <col min="4" max="4" width="26" style="66" customWidth="1"/>
    <col min="5" max="5" width="12.7109375" style="66" customWidth="1"/>
    <col min="6" max="6" width="56.7109375" style="66" customWidth="1"/>
    <col min="7" max="16384" width="9.140625" style="66"/>
  </cols>
  <sheetData>
    <row r="1" spans="1:9" s="111" customFormat="1" ht="21" x14ac:dyDescent="0.35">
      <c r="A1" s="552" t="s">
        <v>4</v>
      </c>
      <c r="B1" s="552"/>
      <c r="C1" s="552"/>
      <c r="D1" s="552"/>
      <c r="E1" s="552"/>
      <c r="F1" s="110"/>
      <c r="G1" s="110"/>
      <c r="H1" s="110"/>
      <c r="I1" s="110"/>
    </row>
    <row r="2" spans="1:9" s="111" customFormat="1" x14ac:dyDescent="0.25">
      <c r="A2" s="105"/>
      <c r="B2" s="105"/>
    </row>
    <row r="3" spans="1:9" s="111" customFormat="1" ht="15.75" x14ac:dyDescent="0.25">
      <c r="A3" s="106" t="s">
        <v>0</v>
      </c>
      <c r="B3" s="108" t="str">
        <f>'Summary - 1 Client name '!C3&amp;", &amp; "&amp;'Summary - 2 Client name '!C3</f>
        <v xml:space="preserve">, &amp; </v>
      </c>
      <c r="C3" s="108"/>
      <c r="D3" s="107"/>
      <c r="E3" s="112"/>
      <c r="F3" s="112"/>
      <c r="G3" s="112"/>
      <c r="H3" s="112"/>
      <c r="I3" s="112"/>
    </row>
    <row r="4" spans="1:9" s="111" customFormat="1" ht="15.75" x14ac:dyDescent="0.25">
      <c r="A4" s="106" t="s">
        <v>1</v>
      </c>
      <c r="B4" s="109">
        <f>'Summary - 1 Client name '!C4</f>
        <v>46203</v>
      </c>
      <c r="C4" s="109"/>
      <c r="D4" s="106"/>
      <c r="E4" s="112"/>
      <c r="F4" s="112"/>
      <c r="G4" s="112"/>
      <c r="H4" s="112"/>
      <c r="I4" s="112"/>
    </row>
    <row r="5" spans="1:9" s="111" customFormat="1" ht="15.75" x14ac:dyDescent="0.25">
      <c r="A5" s="106" t="s">
        <v>2</v>
      </c>
      <c r="B5" s="106" t="s">
        <v>6</v>
      </c>
      <c r="C5" s="106"/>
      <c r="D5" s="107"/>
      <c r="E5" s="112"/>
      <c r="F5" s="112"/>
      <c r="G5" s="112"/>
      <c r="H5" s="112"/>
      <c r="I5" s="112"/>
    </row>
    <row r="6" spans="1:9" x14ac:dyDescent="0.25">
      <c r="D6" s="277"/>
    </row>
    <row r="7" spans="1:9" s="113" customFormat="1" ht="30.75" customHeight="1" x14ac:dyDescent="0.2">
      <c r="A7" s="521" t="s">
        <v>7</v>
      </c>
      <c r="B7" s="522" t="s">
        <v>8</v>
      </c>
      <c r="C7" s="521" t="s">
        <v>9</v>
      </c>
      <c r="D7" s="522" t="s">
        <v>10</v>
      </c>
      <c r="E7" s="522" t="s">
        <v>11</v>
      </c>
      <c r="F7" s="522" t="s">
        <v>12</v>
      </c>
    </row>
    <row r="8" spans="1:9" x14ac:dyDescent="0.25">
      <c r="A8" s="275">
        <v>1</v>
      </c>
      <c r="B8" s="278"/>
      <c r="C8" s="279"/>
      <c r="D8" s="88"/>
      <c r="E8" s="88"/>
      <c r="F8" s="88"/>
    </row>
    <row r="9" spans="1:9" x14ac:dyDescent="0.25">
      <c r="A9" s="275"/>
      <c r="B9" s="278"/>
      <c r="C9" s="279"/>
      <c r="D9" s="88"/>
      <c r="E9" s="88"/>
      <c r="F9" s="88"/>
    </row>
    <row r="10" spans="1:9" x14ac:dyDescent="0.25">
      <c r="A10" s="275">
        <v>2</v>
      </c>
      <c r="B10" s="278"/>
      <c r="C10" s="279"/>
      <c r="D10" s="88"/>
      <c r="E10" s="88"/>
      <c r="F10" s="88"/>
    </row>
    <row r="11" spans="1:9" x14ac:dyDescent="0.25">
      <c r="A11" s="275">
        <v>3</v>
      </c>
      <c r="B11" s="278"/>
      <c r="C11" s="280"/>
      <c r="D11" s="88"/>
      <c r="E11" s="88"/>
      <c r="F11" s="88"/>
    </row>
    <row r="12" spans="1:9" x14ac:dyDescent="0.25">
      <c r="A12" s="275">
        <v>4</v>
      </c>
      <c r="B12" s="278"/>
      <c r="C12" s="280"/>
      <c r="D12" s="88"/>
      <c r="E12" s="88"/>
      <c r="F12" s="88"/>
    </row>
    <row r="13" spans="1:9" x14ac:dyDescent="0.25">
      <c r="A13" s="275">
        <v>5</v>
      </c>
      <c r="B13" s="278"/>
      <c r="C13" s="279"/>
      <c r="D13" s="88"/>
      <c r="E13" s="88"/>
      <c r="F13" s="88"/>
    </row>
    <row r="14" spans="1:9" x14ac:dyDescent="0.25">
      <c r="A14" s="116">
        <v>6</v>
      </c>
      <c r="B14" s="88"/>
      <c r="C14" s="88"/>
      <c r="D14" s="88"/>
      <c r="E14" s="88"/>
      <c r="F14" s="88"/>
    </row>
    <row r="15" spans="1:9" x14ac:dyDescent="0.25">
      <c r="A15" s="116">
        <v>7</v>
      </c>
      <c r="B15" s="88"/>
      <c r="C15" s="88"/>
      <c r="D15" s="88"/>
      <c r="E15" s="88"/>
      <c r="F15" s="88"/>
    </row>
    <row r="16" spans="1:9" x14ac:dyDescent="0.25">
      <c r="A16" s="116">
        <v>8</v>
      </c>
      <c r="B16" s="88"/>
      <c r="C16" s="88"/>
      <c r="D16" s="88"/>
      <c r="E16" s="88"/>
      <c r="F16" s="88"/>
    </row>
    <row r="17" spans="1:6" x14ac:dyDescent="0.25">
      <c r="A17" s="116">
        <v>9</v>
      </c>
      <c r="B17" s="88"/>
      <c r="C17" s="88"/>
      <c r="D17" s="88"/>
      <c r="E17" s="88"/>
      <c r="F17" s="88"/>
    </row>
    <row r="18" spans="1:6" x14ac:dyDescent="0.25">
      <c r="A18" s="116">
        <v>10</v>
      </c>
      <c r="B18" s="88"/>
      <c r="C18" s="88"/>
      <c r="D18" s="88"/>
      <c r="E18" s="88"/>
      <c r="F18" s="88"/>
    </row>
    <row r="19" spans="1:6" x14ac:dyDescent="0.25">
      <c r="A19" s="116">
        <v>11</v>
      </c>
      <c r="B19" s="88"/>
      <c r="C19" s="88"/>
      <c r="D19" s="88"/>
      <c r="E19" s="88"/>
      <c r="F19" s="88"/>
    </row>
    <row r="20" spans="1:6" x14ac:dyDescent="0.25">
      <c r="A20" s="116">
        <v>12</v>
      </c>
      <c r="B20" s="88"/>
      <c r="C20" s="88"/>
      <c r="D20" s="88"/>
      <c r="E20" s="88"/>
      <c r="F20" s="88"/>
    </row>
    <row r="21" spans="1:6" x14ac:dyDescent="0.25">
      <c r="A21" s="116">
        <v>13</v>
      </c>
      <c r="B21" s="88"/>
      <c r="C21" s="88"/>
      <c r="D21" s="88"/>
      <c r="E21" s="88"/>
      <c r="F21" s="88"/>
    </row>
    <row r="22" spans="1:6" x14ac:dyDescent="0.25">
      <c r="A22" s="116">
        <v>14</v>
      </c>
      <c r="B22" s="88"/>
      <c r="C22" s="88"/>
      <c r="D22" s="88"/>
      <c r="E22" s="88"/>
      <c r="F22" s="88"/>
    </row>
    <row r="23" spans="1:6" x14ac:dyDescent="0.25">
      <c r="A23" s="116">
        <v>15</v>
      </c>
      <c r="B23" s="88"/>
      <c r="C23" s="88"/>
      <c r="D23" s="88"/>
      <c r="E23" s="88"/>
      <c r="F23" s="88"/>
    </row>
    <row r="24" spans="1:6" x14ac:dyDescent="0.25">
      <c r="A24" s="116">
        <v>16</v>
      </c>
      <c r="B24" s="88"/>
      <c r="C24" s="88"/>
      <c r="D24" s="88"/>
      <c r="E24" s="88"/>
      <c r="F24" s="88"/>
    </row>
    <row r="25" spans="1:6" x14ac:dyDescent="0.25">
      <c r="A25" s="116">
        <v>17</v>
      </c>
      <c r="B25" s="88"/>
      <c r="C25" s="88"/>
      <c r="D25" s="88"/>
      <c r="E25" s="88"/>
      <c r="F25" s="88"/>
    </row>
    <row r="26" spans="1:6" x14ac:dyDescent="0.25">
      <c r="A26" s="116">
        <v>18</v>
      </c>
      <c r="B26" s="88"/>
      <c r="C26" s="88"/>
      <c r="D26" s="88"/>
      <c r="E26" s="88"/>
      <c r="F26" s="88"/>
    </row>
    <row r="27" spans="1:6" x14ac:dyDescent="0.25">
      <c r="A27" s="116">
        <v>19</v>
      </c>
      <c r="B27" s="88"/>
      <c r="C27" s="88"/>
      <c r="D27" s="88"/>
      <c r="E27" s="88"/>
      <c r="F27" s="88"/>
    </row>
    <row r="28" spans="1:6" x14ac:dyDescent="0.25">
      <c r="A28" s="116">
        <v>20</v>
      </c>
      <c r="B28" s="88"/>
      <c r="C28" s="88"/>
      <c r="D28" s="88"/>
      <c r="E28" s="88"/>
      <c r="F28" s="88"/>
    </row>
    <row r="29" spans="1:6" x14ac:dyDescent="0.25">
      <c r="A29" s="116">
        <v>21</v>
      </c>
      <c r="B29" s="88"/>
      <c r="C29" s="88"/>
      <c r="D29" s="88"/>
      <c r="E29" s="88"/>
      <c r="F29" s="88"/>
    </row>
    <row r="30" spans="1:6" x14ac:dyDescent="0.25">
      <c r="A30" s="116">
        <v>22</v>
      </c>
      <c r="B30" s="88"/>
      <c r="C30" s="88"/>
      <c r="D30" s="88"/>
      <c r="E30" s="88"/>
      <c r="F30" s="88"/>
    </row>
    <row r="31" spans="1:6" x14ac:dyDescent="0.25">
      <c r="A31" s="116">
        <v>23</v>
      </c>
      <c r="B31" s="88"/>
      <c r="C31" s="88"/>
      <c r="D31" s="88"/>
      <c r="E31" s="88"/>
      <c r="F31" s="88"/>
    </row>
    <row r="32" spans="1:6" x14ac:dyDescent="0.25">
      <c r="A32" s="116">
        <v>24</v>
      </c>
      <c r="B32" s="88"/>
      <c r="C32" s="88"/>
      <c r="D32" s="88"/>
      <c r="E32" s="88"/>
      <c r="F32" s="88"/>
    </row>
    <row r="33" spans="1:6" x14ac:dyDescent="0.25">
      <c r="A33" s="116">
        <v>25</v>
      </c>
      <c r="B33" s="88"/>
      <c r="C33" s="88"/>
      <c r="D33" s="88"/>
      <c r="E33" s="88"/>
      <c r="F33" s="88"/>
    </row>
  </sheetData>
  <mergeCells count="1">
    <mergeCell ref="A1:E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theme="5" tint="0.59999389629810485"/>
    <pageSetUpPr fitToPage="1"/>
  </sheetPr>
  <dimension ref="A1:U104"/>
  <sheetViews>
    <sheetView tabSelected="1" topLeftCell="A4" zoomScaleNormal="100" workbookViewId="0">
      <selection activeCell="J39" sqref="J39"/>
    </sheetView>
  </sheetViews>
  <sheetFormatPr defaultColWidth="9.140625" defaultRowHeight="17.25" customHeight="1" x14ac:dyDescent="0.2"/>
  <cols>
    <col min="1" max="1" width="11.5703125" style="298" bestFit="1" customWidth="1"/>
    <col min="2" max="2" width="11.28515625" style="292" customWidth="1"/>
    <col min="3" max="3" width="21.140625" style="298" customWidth="1"/>
    <col min="4" max="4" width="11" style="298" customWidth="1"/>
    <col min="5" max="5" width="10.7109375" style="298" customWidth="1"/>
    <col min="6" max="6" width="28.7109375" style="298" customWidth="1"/>
    <col min="7" max="7" width="13.7109375" style="298" customWidth="1"/>
    <col min="8" max="8" width="14.140625" style="298" customWidth="1"/>
    <col min="9" max="9" width="26.5703125" style="298" customWidth="1"/>
    <col min="10" max="10" width="35.28515625" style="298" customWidth="1"/>
    <col min="11" max="11" width="21.28515625" style="299" bestFit="1" customWidth="1"/>
    <col min="12" max="25" width="9.140625" style="298"/>
    <col min="26" max="26" width="16.140625" style="298" customWidth="1"/>
    <col min="27" max="16384" width="9.140625" style="298"/>
  </cols>
  <sheetData>
    <row r="1" spans="1:12" s="292" customFormat="1" ht="17.25" customHeight="1" x14ac:dyDescent="0.25">
      <c r="A1" s="549" t="s">
        <v>4</v>
      </c>
      <c r="B1" s="549"/>
      <c r="C1" s="549"/>
      <c r="D1" s="549"/>
      <c r="J1" s="293" t="s">
        <v>13</v>
      </c>
      <c r="K1" s="294"/>
    </row>
    <row r="2" spans="1:12" s="292" customFormat="1" ht="17.25" customHeight="1" x14ac:dyDescent="0.2">
      <c r="A2" s="550"/>
      <c r="B2" s="550"/>
      <c r="C2" s="289"/>
      <c r="D2" s="289"/>
      <c r="K2" s="294"/>
    </row>
    <row r="3" spans="1:12" s="292" customFormat="1" ht="17.25" customHeight="1" x14ac:dyDescent="0.25">
      <c r="A3" s="551" t="s">
        <v>0</v>
      </c>
      <c r="B3" s="551"/>
      <c r="C3" s="288"/>
      <c r="D3" s="289"/>
      <c r="K3" s="294"/>
    </row>
    <row r="4" spans="1:12" s="292" customFormat="1" ht="17.25" customHeight="1" x14ac:dyDescent="0.25">
      <c r="A4" s="290" t="s">
        <v>1</v>
      </c>
      <c r="B4" s="289"/>
      <c r="C4" s="291">
        <v>46203</v>
      </c>
      <c r="D4" s="290"/>
      <c r="E4" s="296"/>
      <c r="F4" s="295"/>
      <c r="K4" s="294"/>
    </row>
    <row r="5" spans="1:12" s="292" customFormat="1" ht="17.25" customHeight="1" x14ac:dyDescent="0.25">
      <c r="A5" s="551" t="s">
        <v>2</v>
      </c>
      <c r="B5" s="551"/>
      <c r="C5" s="290" t="s">
        <v>14</v>
      </c>
      <c r="D5" s="289"/>
      <c r="F5" s="297"/>
      <c r="K5" s="294"/>
    </row>
    <row r="6" spans="1:12" ht="17.25" customHeight="1" x14ac:dyDescent="0.2">
      <c r="A6" s="292"/>
      <c r="C6" s="292"/>
      <c r="D6" s="292"/>
    </row>
    <row r="7" spans="1:12" ht="17.25" customHeight="1" x14ac:dyDescent="0.2">
      <c r="C7" s="292"/>
      <c r="D7" s="292"/>
      <c r="L7" s="300"/>
    </row>
    <row r="8" spans="1:12" ht="17.25" customHeight="1" x14ac:dyDescent="0.2">
      <c r="B8" s="296"/>
      <c r="C8" s="301"/>
      <c r="D8" s="302"/>
      <c r="E8" s="302"/>
      <c r="F8" s="302"/>
      <c r="G8" s="302"/>
      <c r="H8" s="302"/>
      <c r="I8" s="302" t="s">
        <v>15</v>
      </c>
      <c r="K8" s="300"/>
      <c r="L8" s="300"/>
    </row>
    <row r="9" spans="1:12" ht="17.25" customHeight="1" x14ac:dyDescent="0.2">
      <c r="B9" s="296"/>
      <c r="C9" s="302"/>
      <c r="D9" s="302"/>
      <c r="E9" s="302"/>
      <c r="F9" s="302"/>
      <c r="G9" s="302"/>
      <c r="H9" s="302"/>
      <c r="I9" s="302"/>
      <c r="K9" s="300"/>
      <c r="L9" s="300"/>
    </row>
    <row r="10" spans="1:12" s="322" customFormat="1" ht="17.25" customHeight="1" x14ac:dyDescent="0.2">
      <c r="B10" s="529" t="s">
        <v>16</v>
      </c>
      <c r="C10" s="530" t="s">
        <v>17</v>
      </c>
      <c r="D10" s="530"/>
      <c r="E10" s="530"/>
      <c r="F10" s="530"/>
      <c r="G10" s="531" t="s">
        <v>18</v>
      </c>
      <c r="H10" s="531" t="s">
        <v>19</v>
      </c>
      <c r="I10" s="531" t="s">
        <v>20</v>
      </c>
      <c r="J10" s="531" t="s">
        <v>21</v>
      </c>
      <c r="K10" s="532" t="s">
        <v>22</v>
      </c>
      <c r="L10" s="533"/>
    </row>
    <row r="11" spans="1:12" ht="17.25" customHeight="1" x14ac:dyDescent="0.2">
      <c r="B11" s="304"/>
      <c r="C11" s="305" t="s">
        <v>23</v>
      </c>
      <c r="D11" s="306"/>
      <c r="E11" s="306"/>
      <c r="F11" s="306"/>
      <c r="G11" s="306"/>
      <c r="H11" s="306"/>
      <c r="I11" s="302"/>
      <c r="J11" s="302"/>
      <c r="K11" s="307"/>
      <c r="L11" s="300"/>
    </row>
    <row r="12" spans="1:12" ht="17.25" customHeight="1" x14ac:dyDescent="0.2">
      <c r="B12" s="308">
        <v>1</v>
      </c>
      <c r="C12" s="309" t="s">
        <v>24</v>
      </c>
      <c r="D12" s="309"/>
      <c r="E12" s="309"/>
      <c r="F12" s="309"/>
      <c r="G12" s="310">
        <v>0</v>
      </c>
      <c r="H12" s="310">
        <v>0</v>
      </c>
      <c r="I12" s="311"/>
      <c r="J12" s="312"/>
      <c r="K12" s="313"/>
    </row>
    <row r="13" spans="1:12" ht="17.25" customHeight="1" x14ac:dyDescent="0.2">
      <c r="B13" s="308">
        <v>1</v>
      </c>
      <c r="C13" s="309" t="s">
        <v>24</v>
      </c>
      <c r="D13" s="309"/>
      <c r="E13" s="309"/>
      <c r="F13" s="309"/>
      <c r="G13" s="310">
        <v>0</v>
      </c>
      <c r="H13" s="310">
        <v>0</v>
      </c>
      <c r="I13" s="314"/>
      <c r="J13" s="312"/>
      <c r="K13" s="313"/>
    </row>
    <row r="14" spans="1:12" ht="17.25" customHeight="1" x14ac:dyDescent="0.2">
      <c r="B14" s="308">
        <v>2</v>
      </c>
      <c r="C14" s="309" t="s">
        <v>25</v>
      </c>
      <c r="D14" s="309"/>
      <c r="E14" s="309"/>
      <c r="F14" s="309"/>
      <c r="G14" s="310"/>
      <c r="H14" s="310"/>
      <c r="I14" s="314"/>
      <c r="J14" s="312"/>
      <c r="K14" s="313"/>
    </row>
    <row r="15" spans="1:12" ht="17.25" customHeight="1" x14ac:dyDescent="0.2">
      <c r="B15" s="308"/>
      <c r="C15" s="309"/>
      <c r="D15" s="309"/>
      <c r="E15" s="309"/>
      <c r="F15" s="309"/>
      <c r="G15" s="310"/>
      <c r="H15" s="310"/>
      <c r="I15" s="314"/>
      <c r="J15" s="312"/>
      <c r="K15" s="313"/>
    </row>
    <row r="16" spans="1:12" ht="17.25" customHeight="1" x14ac:dyDescent="0.2">
      <c r="B16" s="308">
        <v>10</v>
      </c>
      <c r="C16" s="309" t="s">
        <v>26</v>
      </c>
      <c r="D16" s="309"/>
      <c r="E16" s="309"/>
      <c r="F16" s="309"/>
      <c r="G16" s="315">
        <v>0</v>
      </c>
      <c r="H16" s="316">
        <v>0</v>
      </c>
      <c r="I16" s="311"/>
      <c r="J16" s="312"/>
      <c r="K16" s="313"/>
    </row>
    <row r="17" spans="2:11" ht="17.25" customHeight="1" x14ac:dyDescent="0.2">
      <c r="B17" s="308">
        <v>11</v>
      </c>
      <c r="C17" s="309" t="s">
        <v>27</v>
      </c>
      <c r="D17" s="309"/>
      <c r="E17" s="309"/>
      <c r="F17" s="309"/>
      <c r="G17" s="315">
        <f>'Dividend Summary Ind'!E52</f>
        <v>0</v>
      </c>
      <c r="H17" s="315">
        <f>'Dividend Summary Ind'!D52+'Dividend Summary Ind'!C52</f>
        <v>0</v>
      </c>
      <c r="I17" s="314"/>
      <c r="J17" s="312"/>
      <c r="K17" s="313"/>
    </row>
    <row r="18" spans="2:11" ht="17.25" customHeight="1" x14ac:dyDescent="0.2">
      <c r="B18" s="308">
        <v>11</v>
      </c>
      <c r="C18" s="309" t="s">
        <v>27</v>
      </c>
      <c r="D18" s="309"/>
      <c r="E18" s="309"/>
      <c r="F18" s="309"/>
      <c r="G18" s="315">
        <f>'Dividend Summary Ind'!E53</f>
        <v>0</v>
      </c>
      <c r="H18" s="315">
        <v>0</v>
      </c>
      <c r="I18" s="314"/>
      <c r="J18" s="312"/>
      <c r="K18" s="313"/>
    </row>
    <row r="19" spans="2:11" ht="17.25" customHeight="1" x14ac:dyDescent="0.2">
      <c r="B19" s="308">
        <v>12</v>
      </c>
      <c r="C19" s="309" t="s">
        <v>539</v>
      </c>
      <c r="D19" s="309"/>
      <c r="E19" s="309"/>
      <c r="F19" s="309"/>
      <c r="G19" s="315"/>
      <c r="H19" s="315"/>
      <c r="I19" s="314"/>
      <c r="J19" s="312"/>
      <c r="K19" s="313"/>
    </row>
    <row r="20" spans="2:11" ht="17.25" customHeight="1" x14ac:dyDescent="0.2">
      <c r="B20" s="308"/>
      <c r="C20" s="309"/>
      <c r="D20" s="309"/>
      <c r="E20" s="309"/>
      <c r="F20" s="309"/>
      <c r="G20" s="315"/>
      <c r="H20" s="315"/>
      <c r="I20" s="314"/>
      <c r="J20" s="312"/>
      <c r="K20" s="313"/>
    </row>
    <row r="21" spans="2:11" ht="17.25" customHeight="1" x14ac:dyDescent="0.2">
      <c r="B21" s="308">
        <v>13</v>
      </c>
      <c r="C21" s="309" t="s">
        <v>28</v>
      </c>
      <c r="D21" s="309"/>
      <c r="E21" s="309" t="s">
        <v>540</v>
      </c>
      <c r="F21" s="309"/>
      <c r="G21" s="315">
        <v>0</v>
      </c>
      <c r="H21" s="315">
        <v>0</v>
      </c>
      <c r="I21" s="314"/>
      <c r="J21" s="312"/>
      <c r="K21" s="313"/>
    </row>
    <row r="22" spans="2:11" ht="17.25" customHeight="1" x14ac:dyDescent="0.2">
      <c r="B22" s="308"/>
      <c r="C22" s="309"/>
      <c r="D22" s="309"/>
      <c r="E22" s="309" t="s">
        <v>541</v>
      </c>
      <c r="F22" s="309"/>
      <c r="G22" s="315"/>
      <c r="H22" s="315"/>
      <c r="I22" s="314"/>
      <c r="J22" s="312"/>
      <c r="K22" s="313"/>
    </row>
    <row r="23" spans="2:11" ht="17.25" customHeight="1" x14ac:dyDescent="0.2">
      <c r="B23" s="308">
        <v>13</v>
      </c>
      <c r="C23" s="309" t="s">
        <v>28</v>
      </c>
      <c r="D23" s="309"/>
      <c r="E23" s="309" t="s">
        <v>540</v>
      </c>
      <c r="F23" s="309"/>
      <c r="G23" s="315">
        <v>0</v>
      </c>
      <c r="H23" s="315">
        <v>0</v>
      </c>
      <c r="I23" s="314"/>
      <c r="J23" s="312"/>
      <c r="K23" s="313"/>
    </row>
    <row r="24" spans="2:11" ht="17.25" customHeight="1" x14ac:dyDescent="0.2">
      <c r="B24" s="308"/>
      <c r="C24" s="309"/>
      <c r="D24" s="309"/>
      <c r="E24" s="309" t="s">
        <v>541</v>
      </c>
      <c r="F24" s="309"/>
      <c r="G24" s="315"/>
      <c r="H24" s="315"/>
      <c r="I24" s="314"/>
      <c r="J24" s="312"/>
      <c r="K24" s="313"/>
    </row>
    <row r="25" spans="2:11" ht="17.25" customHeight="1" x14ac:dyDescent="0.2">
      <c r="B25" s="308"/>
      <c r="C25" s="309"/>
      <c r="D25" s="309"/>
      <c r="E25" s="309"/>
      <c r="F25" s="309"/>
      <c r="G25" s="315"/>
      <c r="H25" s="315"/>
      <c r="I25" s="314"/>
      <c r="J25" s="312"/>
      <c r="K25" s="313"/>
    </row>
    <row r="26" spans="2:11" ht="17.25" customHeight="1" x14ac:dyDescent="0.2">
      <c r="B26" s="308">
        <v>15</v>
      </c>
      <c r="C26" s="309" t="s">
        <v>414</v>
      </c>
      <c r="D26" s="309"/>
      <c r="E26" s="309"/>
      <c r="F26" s="309"/>
      <c r="G26" s="315"/>
      <c r="H26" s="317">
        <f>'Share Register'!E69</f>
        <v>0</v>
      </c>
      <c r="I26" s="318"/>
      <c r="J26" s="312"/>
      <c r="K26" s="313"/>
    </row>
    <row r="27" spans="2:11" ht="17.25" customHeight="1" x14ac:dyDescent="0.2">
      <c r="B27" s="308">
        <v>16</v>
      </c>
      <c r="C27" s="309" t="s">
        <v>415</v>
      </c>
      <c r="D27" s="309"/>
      <c r="E27" s="309"/>
      <c r="F27" s="309"/>
      <c r="G27" s="315"/>
      <c r="H27" s="315">
        <v>0</v>
      </c>
      <c r="I27" s="314"/>
      <c r="J27" s="312"/>
      <c r="K27" s="313"/>
    </row>
    <row r="28" spans="2:11" ht="17.25" customHeight="1" x14ac:dyDescent="0.2">
      <c r="B28" s="308"/>
      <c r="C28" s="309"/>
      <c r="D28" s="309"/>
      <c r="E28" s="309"/>
      <c r="F28" s="309"/>
      <c r="G28" s="315"/>
      <c r="H28" s="315"/>
      <c r="I28" s="314"/>
      <c r="J28" s="312"/>
      <c r="K28" s="313"/>
    </row>
    <row r="29" spans="2:11" ht="17.25" customHeight="1" x14ac:dyDescent="0.2">
      <c r="B29" s="308">
        <v>18</v>
      </c>
      <c r="C29" s="309" t="s">
        <v>544</v>
      </c>
      <c r="D29" s="309"/>
      <c r="E29" s="309"/>
      <c r="F29" s="309"/>
      <c r="G29" s="315"/>
      <c r="H29" s="315"/>
      <c r="I29" s="314"/>
      <c r="J29" s="312"/>
      <c r="K29" s="313"/>
    </row>
    <row r="30" spans="2:11" ht="17.25" customHeight="1" x14ac:dyDescent="0.2">
      <c r="B30" s="308">
        <v>18</v>
      </c>
      <c r="C30" s="309" t="s">
        <v>545</v>
      </c>
      <c r="D30" s="309"/>
      <c r="E30" s="309"/>
      <c r="F30" s="309"/>
      <c r="G30" s="315"/>
      <c r="H30" s="317">
        <f>'Share Register'!E72</f>
        <v>0</v>
      </c>
      <c r="I30" s="318"/>
      <c r="J30" s="312"/>
      <c r="K30" s="313"/>
    </row>
    <row r="31" spans="2:11" ht="17.25" customHeight="1" x14ac:dyDescent="0.2">
      <c r="B31" s="308">
        <v>18</v>
      </c>
      <c r="C31" s="309" t="s">
        <v>546</v>
      </c>
      <c r="D31" s="309"/>
      <c r="E31" s="309"/>
      <c r="F31" s="309"/>
      <c r="G31" s="315"/>
      <c r="H31" s="315">
        <v>0</v>
      </c>
      <c r="I31" s="314"/>
      <c r="J31" s="312"/>
      <c r="K31" s="313"/>
    </row>
    <row r="32" spans="2:11" ht="17.25" customHeight="1" x14ac:dyDescent="0.2">
      <c r="B32" s="308"/>
      <c r="C32" s="309"/>
      <c r="D32" s="309"/>
      <c r="E32" s="309"/>
      <c r="F32" s="309"/>
      <c r="G32" s="315"/>
      <c r="H32" s="315"/>
      <c r="I32" s="314"/>
      <c r="J32" s="312"/>
      <c r="K32" s="313"/>
    </row>
    <row r="33" spans="2:16" ht="17.25" customHeight="1" x14ac:dyDescent="0.2">
      <c r="B33" s="308">
        <v>20</v>
      </c>
      <c r="C33" s="309" t="s">
        <v>547</v>
      </c>
      <c r="D33" s="309"/>
      <c r="E33" s="309"/>
      <c r="F33" s="309"/>
      <c r="G33" s="315"/>
      <c r="H33" s="315"/>
      <c r="I33" s="314"/>
      <c r="J33" s="312"/>
      <c r="K33" s="313"/>
    </row>
    <row r="34" spans="2:16" ht="17.25" customHeight="1" x14ac:dyDescent="0.2">
      <c r="B34" s="308">
        <v>20</v>
      </c>
      <c r="C34" s="309" t="s">
        <v>543</v>
      </c>
      <c r="D34" s="309"/>
      <c r="E34" s="309"/>
      <c r="F34" s="309"/>
      <c r="G34" s="315">
        <v>0</v>
      </c>
      <c r="H34" s="315">
        <f>'Foreign Income'!E19</f>
        <v>0</v>
      </c>
      <c r="I34" s="314"/>
      <c r="J34" s="312"/>
      <c r="K34" s="313"/>
    </row>
    <row r="35" spans="2:16" ht="17.25" customHeight="1" x14ac:dyDescent="0.2">
      <c r="B35" s="308"/>
      <c r="C35" s="309"/>
      <c r="D35" s="309"/>
      <c r="E35" s="309"/>
      <c r="F35" s="309"/>
      <c r="G35" s="315"/>
      <c r="H35" s="315"/>
      <c r="I35" s="314"/>
      <c r="J35" s="312"/>
      <c r="K35" s="313"/>
    </row>
    <row r="36" spans="2:16" ht="17.25" customHeight="1" x14ac:dyDescent="0.2">
      <c r="B36" s="308">
        <v>21</v>
      </c>
      <c r="C36" s="309" t="s">
        <v>30</v>
      </c>
      <c r="D36" s="309"/>
      <c r="E36" s="309"/>
      <c r="F36" s="309"/>
      <c r="G36" s="315"/>
      <c r="H36" s="315">
        <v>0</v>
      </c>
      <c r="I36" s="314"/>
      <c r="J36" s="312"/>
      <c r="K36" s="313"/>
    </row>
    <row r="37" spans="2:16" ht="17.25" customHeight="1" x14ac:dyDescent="0.2">
      <c r="B37" s="308">
        <v>21</v>
      </c>
      <c r="C37" s="309" t="s">
        <v>30</v>
      </c>
      <c r="D37" s="309"/>
      <c r="E37" s="309"/>
      <c r="F37" s="309"/>
      <c r="G37" s="315"/>
      <c r="H37" s="315"/>
      <c r="I37" s="314"/>
      <c r="J37" s="312"/>
      <c r="K37" s="313"/>
    </row>
    <row r="38" spans="2:16" ht="17.25" customHeight="1" x14ac:dyDescent="0.2">
      <c r="B38" s="308"/>
      <c r="C38" s="309"/>
      <c r="D38" s="309"/>
      <c r="E38" s="309"/>
      <c r="F38" s="309"/>
      <c r="G38" s="315"/>
      <c r="H38" s="315"/>
      <c r="I38" s="314"/>
      <c r="J38" s="312"/>
      <c r="K38" s="313"/>
    </row>
    <row r="39" spans="2:16" ht="17.25" customHeight="1" x14ac:dyDescent="0.2">
      <c r="B39" s="308">
        <v>24</v>
      </c>
      <c r="C39" s="309" t="s">
        <v>31</v>
      </c>
      <c r="E39" s="309"/>
      <c r="F39" s="309"/>
      <c r="G39" s="315"/>
      <c r="H39" s="315"/>
      <c r="I39" s="314"/>
      <c r="J39" s="312" t="s">
        <v>549</v>
      </c>
      <c r="K39" s="313"/>
      <c r="P39" s="319"/>
    </row>
    <row r="40" spans="2:16" ht="17.25" customHeight="1" x14ac:dyDescent="0.2">
      <c r="B40" s="308"/>
      <c r="C40" s="309" t="s">
        <v>32</v>
      </c>
      <c r="D40" s="309"/>
      <c r="E40" s="309"/>
      <c r="F40" s="309"/>
      <c r="G40" s="315"/>
      <c r="H40" s="315"/>
      <c r="I40" s="314"/>
      <c r="J40" s="312"/>
      <c r="K40" s="313"/>
      <c r="P40" s="319"/>
    </row>
    <row r="41" spans="2:16" s="292" customFormat="1" ht="17.25" customHeight="1" thickBot="1" x14ac:dyDescent="0.25">
      <c r="B41" s="320"/>
      <c r="C41" s="321" t="s">
        <v>33</v>
      </c>
      <c r="D41" s="322"/>
      <c r="E41" s="322"/>
      <c r="F41" s="322"/>
      <c r="G41" s="323"/>
      <c r="H41" s="324">
        <f>ROUND((SUM(H12:H40)+G17),0)+G18</f>
        <v>0</v>
      </c>
      <c r="I41" s="325"/>
      <c r="J41" s="326"/>
      <c r="K41" s="327"/>
    </row>
    <row r="42" spans="2:16" s="292" customFormat="1" ht="17.25" customHeight="1" thickTop="1" x14ac:dyDescent="0.2">
      <c r="B42" s="320"/>
      <c r="C42" s="322"/>
      <c r="D42" s="322"/>
      <c r="E42" s="322"/>
      <c r="F42" s="322"/>
      <c r="G42" s="323"/>
      <c r="H42" s="323"/>
      <c r="I42" s="148"/>
      <c r="J42" s="326"/>
      <c r="K42" s="327"/>
    </row>
    <row r="43" spans="2:16" s="292" customFormat="1" ht="17.25" customHeight="1" x14ac:dyDescent="0.2">
      <c r="B43" s="320"/>
      <c r="C43" s="321" t="s">
        <v>34</v>
      </c>
      <c r="D43" s="322"/>
      <c r="E43" s="322"/>
      <c r="F43" s="322"/>
      <c r="G43" s="323"/>
      <c r="H43" s="323"/>
      <c r="I43" s="148"/>
      <c r="J43" s="326"/>
      <c r="K43" s="327"/>
    </row>
    <row r="44" spans="2:16" ht="17.25" customHeight="1" x14ac:dyDescent="0.2">
      <c r="B44" s="304" t="s">
        <v>35</v>
      </c>
      <c r="C44" s="328" t="s">
        <v>36</v>
      </c>
      <c r="D44" s="309"/>
      <c r="E44" s="309"/>
      <c r="F44" s="309"/>
      <c r="G44" s="329"/>
      <c r="H44" s="315">
        <f>'Deductions - 1 Client name '!D21</f>
        <v>0</v>
      </c>
      <c r="I44" s="223"/>
      <c r="J44" s="312"/>
      <c r="K44" s="313"/>
    </row>
    <row r="45" spans="2:16" ht="17.25" customHeight="1" x14ac:dyDescent="0.2">
      <c r="B45" s="308" t="s">
        <v>37</v>
      </c>
      <c r="C45" s="328" t="s">
        <v>38</v>
      </c>
      <c r="D45" s="309"/>
      <c r="E45" s="309"/>
      <c r="F45" s="309"/>
      <c r="G45" s="329"/>
      <c r="H45" s="315">
        <f>'Deductions - 1 Client name '!D28</f>
        <v>0</v>
      </c>
      <c r="I45" s="330"/>
      <c r="J45" s="312"/>
      <c r="K45" s="313"/>
    </row>
    <row r="46" spans="2:16" ht="17.25" customHeight="1" x14ac:dyDescent="0.2">
      <c r="B46" s="308" t="s">
        <v>39</v>
      </c>
      <c r="C46" s="309" t="s">
        <v>40</v>
      </c>
      <c r="D46" s="309"/>
      <c r="E46" s="309"/>
      <c r="F46" s="309"/>
      <c r="G46" s="329"/>
      <c r="H46" s="315">
        <f>'Deductions - 1 Client name '!D33</f>
        <v>0</v>
      </c>
      <c r="I46" s="314"/>
      <c r="J46" s="312"/>
      <c r="K46" s="313"/>
    </row>
    <row r="47" spans="2:16" ht="17.25" customHeight="1" x14ac:dyDescent="0.2">
      <c r="B47" s="308" t="s">
        <v>41</v>
      </c>
      <c r="C47" s="309" t="s">
        <v>42</v>
      </c>
      <c r="D47" s="309"/>
      <c r="E47" s="309"/>
      <c r="F47" s="309"/>
      <c r="G47" s="329"/>
      <c r="H47" s="315">
        <f>'Deductions - 1 Client name '!D38</f>
        <v>0</v>
      </c>
      <c r="I47" s="330"/>
      <c r="J47" s="312"/>
      <c r="K47" s="313"/>
    </row>
    <row r="48" spans="2:16" ht="17.25" customHeight="1" x14ac:dyDescent="0.2">
      <c r="B48" s="308" t="s">
        <v>43</v>
      </c>
      <c r="C48" s="309" t="s">
        <v>44</v>
      </c>
      <c r="D48" s="309"/>
      <c r="E48" s="309"/>
      <c r="F48" s="309"/>
      <c r="G48" s="329"/>
      <c r="H48" s="315">
        <f>'Deductions - 1 Client name '!D49</f>
        <v>0</v>
      </c>
      <c r="I48" s="330"/>
      <c r="J48" s="312"/>
      <c r="K48" s="313"/>
    </row>
    <row r="49" spans="2:21" ht="17.25" customHeight="1" x14ac:dyDescent="0.2">
      <c r="B49" s="308" t="s">
        <v>45</v>
      </c>
      <c r="C49" s="309" t="s">
        <v>46</v>
      </c>
      <c r="D49" s="309"/>
      <c r="E49" s="309"/>
      <c r="F49" s="309"/>
      <c r="G49" s="329"/>
      <c r="H49" s="315">
        <f>'Deductions - 1 Client name '!D54</f>
        <v>0</v>
      </c>
      <c r="I49" s="314"/>
      <c r="J49" s="428"/>
      <c r="K49" s="313"/>
    </row>
    <row r="50" spans="2:21" ht="17.25" customHeight="1" x14ac:dyDescent="0.2">
      <c r="B50" s="308" t="s">
        <v>47</v>
      </c>
      <c r="C50" s="309" t="s">
        <v>48</v>
      </c>
      <c r="D50" s="309"/>
      <c r="E50" s="309"/>
      <c r="F50" s="309"/>
      <c r="G50" s="329"/>
      <c r="H50" s="315">
        <f>'Deductions - 1 Client name '!D59</f>
        <v>0</v>
      </c>
      <c r="I50" s="314"/>
      <c r="J50" s="428"/>
      <c r="K50" s="313"/>
    </row>
    <row r="51" spans="2:21" ht="17.25" customHeight="1" x14ac:dyDescent="0.2">
      <c r="B51" s="308" t="s">
        <v>49</v>
      </c>
      <c r="C51" s="309" t="s">
        <v>50</v>
      </c>
      <c r="D51" s="309"/>
      <c r="E51" s="309"/>
      <c r="F51" s="309"/>
      <c r="G51" s="329"/>
      <c r="H51" s="315">
        <f>'Deductions - 1 Client name '!D64</f>
        <v>0</v>
      </c>
      <c r="I51" s="314"/>
      <c r="J51" s="428"/>
      <c r="K51" s="313"/>
    </row>
    <row r="52" spans="2:21" ht="17.25" customHeight="1" x14ac:dyDescent="0.2">
      <c r="B52" s="308" t="s">
        <v>51</v>
      </c>
      <c r="C52" s="309" t="s">
        <v>52</v>
      </c>
      <c r="D52" s="309"/>
      <c r="E52" s="309"/>
      <c r="F52" s="309"/>
      <c r="G52" s="329"/>
      <c r="H52" s="315">
        <f>'Deductions - 1 Client name '!D69</f>
        <v>0</v>
      </c>
      <c r="I52" s="314"/>
      <c r="J52" s="428"/>
      <c r="K52" s="313"/>
      <c r="P52" s="319"/>
      <c r="U52" s="319"/>
    </row>
    <row r="53" spans="2:21" ht="17.25" customHeight="1" x14ac:dyDescent="0.2">
      <c r="B53" s="308" t="s">
        <v>53</v>
      </c>
      <c r="C53" s="309" t="s">
        <v>54</v>
      </c>
      <c r="D53" s="309"/>
      <c r="E53" s="309"/>
      <c r="F53" s="309"/>
      <c r="G53" s="329"/>
      <c r="H53" s="315">
        <f>'Deductions - 1 Client name '!D74</f>
        <v>0</v>
      </c>
      <c r="I53" s="314"/>
      <c r="J53" s="428"/>
      <c r="K53" s="313"/>
      <c r="L53" s="301"/>
      <c r="U53" s="319"/>
    </row>
    <row r="54" spans="2:21" ht="17.25" customHeight="1" x14ac:dyDescent="0.2">
      <c r="B54" s="308" t="s">
        <v>55</v>
      </c>
      <c r="C54" s="309" t="s">
        <v>56</v>
      </c>
      <c r="D54" s="309"/>
      <c r="E54" s="309"/>
      <c r="F54" s="309"/>
      <c r="G54" s="329"/>
      <c r="H54" s="315">
        <f>'Deductions - 1 Client name '!D78</f>
        <v>0</v>
      </c>
      <c r="I54" s="314"/>
      <c r="J54" s="428"/>
      <c r="K54" s="313"/>
      <c r="L54" s="301"/>
      <c r="U54" s="319"/>
    </row>
    <row r="55" spans="2:21" ht="17.25" customHeight="1" x14ac:dyDescent="0.2">
      <c r="B55" s="308" t="s">
        <v>57</v>
      </c>
      <c r="C55" s="309" t="s">
        <v>58</v>
      </c>
      <c r="D55" s="309"/>
      <c r="E55" s="309"/>
      <c r="F55" s="309"/>
      <c r="G55" s="329"/>
      <c r="H55" s="315">
        <f>'Deductions - 1 Client name '!D81</f>
        <v>0</v>
      </c>
      <c r="I55" s="314"/>
      <c r="J55" s="428"/>
      <c r="K55" s="313"/>
      <c r="L55" s="301"/>
      <c r="U55" s="319"/>
    </row>
    <row r="56" spans="2:21" ht="17.25" customHeight="1" x14ac:dyDescent="0.2">
      <c r="B56" s="308" t="s">
        <v>59</v>
      </c>
      <c r="C56" s="309" t="s">
        <v>60</v>
      </c>
      <c r="D56" s="309"/>
      <c r="E56" s="309"/>
      <c r="F56" s="309"/>
      <c r="G56" s="329"/>
      <c r="H56" s="315">
        <f>'Deductions - 1 Client name '!D84</f>
        <v>0</v>
      </c>
      <c r="I56" s="314"/>
      <c r="J56" s="312"/>
      <c r="K56" s="313"/>
      <c r="L56" s="301"/>
      <c r="U56" s="319"/>
    </row>
    <row r="57" spans="2:21" ht="17.25" customHeight="1" x14ac:dyDescent="0.2">
      <c r="B57" s="308" t="s">
        <v>61</v>
      </c>
      <c r="C57" s="309" t="s">
        <v>62</v>
      </c>
      <c r="D57" s="309"/>
      <c r="E57" s="309"/>
      <c r="F57" s="309"/>
      <c r="G57" s="329"/>
      <c r="H57" s="315">
        <f>'Deductions - 1 Client name '!D87</f>
        <v>0</v>
      </c>
      <c r="I57" s="314"/>
      <c r="J57" s="312"/>
      <c r="K57" s="313"/>
      <c r="L57" s="301"/>
      <c r="U57" s="319"/>
    </row>
    <row r="58" spans="2:21" ht="17.25" customHeight="1" x14ac:dyDescent="0.2">
      <c r="B58" s="308" t="s">
        <v>63</v>
      </c>
      <c r="C58" s="309" t="s">
        <v>64</v>
      </c>
      <c r="D58" s="309"/>
      <c r="E58" s="309"/>
      <c r="F58" s="309"/>
      <c r="G58" s="323"/>
      <c r="H58" s="315">
        <f>'Deductions - 1 Client name '!D92</f>
        <v>0</v>
      </c>
      <c r="I58" s="314"/>
      <c r="J58" s="312"/>
      <c r="K58" s="313"/>
      <c r="L58" s="301"/>
      <c r="U58" s="319"/>
    </row>
    <row r="59" spans="2:21" ht="17.25" customHeight="1" x14ac:dyDescent="0.2">
      <c r="B59" s="308"/>
      <c r="C59" s="309" t="s">
        <v>32</v>
      </c>
      <c r="D59" s="309"/>
      <c r="E59" s="309"/>
      <c r="F59" s="309"/>
      <c r="G59" s="323"/>
      <c r="H59" s="315"/>
      <c r="I59" s="314"/>
      <c r="J59" s="312"/>
      <c r="K59" s="313"/>
      <c r="L59" s="301"/>
      <c r="U59" s="319"/>
    </row>
    <row r="60" spans="2:21" s="292" customFormat="1" ht="17.25" customHeight="1" thickBot="1" x14ac:dyDescent="0.25">
      <c r="B60" s="320"/>
      <c r="C60" s="321" t="s">
        <v>65</v>
      </c>
      <c r="D60" s="322"/>
      <c r="E60" s="322"/>
      <c r="F60" s="322"/>
      <c r="G60" s="331"/>
      <c r="H60" s="324">
        <f>SUM(H44:H59)</f>
        <v>0</v>
      </c>
      <c r="I60" s="332"/>
      <c r="J60" s="333">
        <f>'Deductions - 1 Client name '!C95</f>
        <v>0</v>
      </c>
      <c r="K60" s="327"/>
    </row>
    <row r="61" spans="2:21" ht="17.25" customHeight="1" thickTop="1" x14ac:dyDescent="0.2">
      <c r="B61" s="320"/>
      <c r="C61" s="309"/>
      <c r="D61" s="309"/>
      <c r="E61" s="309"/>
      <c r="F61" s="309"/>
      <c r="G61" s="329"/>
      <c r="H61" s="361" t="e">
        <f>H60/H62</f>
        <v>#DIV/0!</v>
      </c>
      <c r="I61" s="334"/>
      <c r="J61" s="312"/>
      <c r="K61" s="313"/>
    </row>
    <row r="62" spans="2:21" ht="17.25" customHeight="1" thickBot="1" x14ac:dyDescent="0.25">
      <c r="B62" s="320"/>
      <c r="C62" s="335" t="s">
        <v>66</v>
      </c>
      <c r="D62" s="309"/>
      <c r="E62" s="309"/>
      <c r="F62" s="309"/>
      <c r="G62" s="329"/>
      <c r="H62" s="336">
        <f>ROUND(H41-H60,0)</f>
        <v>0</v>
      </c>
      <c r="I62" s="150"/>
      <c r="J62" s="312"/>
      <c r="K62" s="313"/>
    </row>
    <row r="63" spans="2:21" ht="17.25" customHeight="1" thickTop="1" x14ac:dyDescent="0.2">
      <c r="B63" s="320"/>
      <c r="C63" s="309"/>
      <c r="D63" s="309"/>
      <c r="E63" s="309"/>
      <c r="F63" s="309"/>
      <c r="G63" s="329"/>
      <c r="H63" s="329"/>
      <c r="I63" s="334"/>
      <c r="J63" s="312"/>
      <c r="K63" s="313"/>
    </row>
    <row r="64" spans="2:21" s="292" customFormat="1" ht="17.25" customHeight="1" x14ac:dyDescent="0.2">
      <c r="B64" s="320"/>
      <c r="C64" s="321" t="s">
        <v>67</v>
      </c>
      <c r="D64" s="322"/>
      <c r="E64" s="322"/>
      <c r="F64" s="322"/>
      <c r="G64" s="323"/>
      <c r="H64" s="323"/>
      <c r="I64" s="148"/>
      <c r="J64" s="326"/>
      <c r="K64" s="327"/>
    </row>
    <row r="65" spans="2:11" ht="17.25" customHeight="1" x14ac:dyDescent="0.2">
      <c r="B65" s="320"/>
      <c r="C65" s="309" t="s">
        <v>67</v>
      </c>
      <c r="D65" s="309"/>
      <c r="E65" s="309"/>
      <c r="F65" s="309"/>
      <c r="G65" s="329"/>
      <c r="H65" s="337" cm="1">
        <f t="array" ref="H65">SUMPRODUCT(--(H62&gt;{18200;45000;135000;190000}), (H62-{18200;45000;135000;190000}), {0.16;0.14;0.07;0.08})</f>
        <v>0</v>
      </c>
      <c r="I65" s="149"/>
      <c r="J65" s="312"/>
      <c r="K65" s="313"/>
    </row>
    <row r="66" spans="2:11" ht="17.25" customHeight="1" x14ac:dyDescent="0.2">
      <c r="B66" s="320"/>
      <c r="C66" s="309" t="s">
        <v>68</v>
      </c>
      <c r="D66" s="309"/>
      <c r="E66" s="309"/>
      <c r="F66" s="309"/>
      <c r="G66" s="329"/>
      <c r="H66" s="329">
        <f>H62*0.02</f>
        <v>0</v>
      </c>
      <c r="I66" s="334"/>
      <c r="J66" s="312"/>
      <c r="K66" s="313"/>
    </row>
    <row r="67" spans="2:11" ht="17.25" customHeight="1" x14ac:dyDescent="0.2">
      <c r="B67" s="320"/>
      <c r="C67" s="309" t="s">
        <v>69</v>
      </c>
      <c r="D67" s="309"/>
      <c r="E67" s="309"/>
      <c r="F67" s="309"/>
      <c r="G67" s="329"/>
      <c r="H67" s="329">
        <v>0</v>
      </c>
      <c r="I67" s="334"/>
      <c r="J67" s="312"/>
      <c r="K67" s="313"/>
    </row>
    <row r="68" spans="2:11" ht="17.25" customHeight="1" x14ac:dyDescent="0.2">
      <c r="B68" s="320"/>
      <c r="C68" s="309" t="s">
        <v>70</v>
      </c>
      <c r="D68" s="309"/>
      <c r="E68" s="309"/>
      <c r="F68" s="309"/>
      <c r="G68" s="329"/>
      <c r="H68" s="338"/>
      <c r="I68" s="334"/>
      <c r="J68" s="312"/>
      <c r="K68" s="313"/>
    </row>
    <row r="69" spans="2:11" ht="17.25" customHeight="1" x14ac:dyDescent="0.2">
      <c r="B69" s="320"/>
      <c r="C69" s="309" t="s">
        <v>71</v>
      </c>
      <c r="D69" s="309"/>
      <c r="E69" s="309"/>
      <c r="F69" s="309"/>
      <c r="G69" s="329"/>
      <c r="H69" s="339">
        <f>SUM(H65:H68)</f>
        <v>0</v>
      </c>
      <c r="I69" s="150"/>
      <c r="J69" s="312"/>
      <c r="K69" s="313"/>
    </row>
    <row r="70" spans="2:11" ht="17.25" customHeight="1" x14ac:dyDescent="0.2">
      <c r="B70" s="320"/>
      <c r="C70" s="309"/>
      <c r="D70" s="309"/>
      <c r="E70" s="309"/>
      <c r="F70" s="309"/>
      <c r="G70" s="329"/>
      <c r="H70" s="329"/>
      <c r="I70" s="334"/>
      <c r="J70" s="312"/>
      <c r="K70" s="313"/>
    </row>
    <row r="71" spans="2:11" ht="17.25" customHeight="1" x14ac:dyDescent="0.2">
      <c r="B71" s="320"/>
      <c r="C71" s="309" t="s">
        <v>390</v>
      </c>
      <c r="D71" s="309"/>
      <c r="E71" s="309"/>
      <c r="F71" s="309"/>
      <c r="G71" s="329"/>
      <c r="H71" s="329"/>
      <c r="I71" s="334"/>
      <c r="J71" s="312"/>
      <c r="K71" s="313"/>
    </row>
    <row r="72" spans="2:11" ht="17.25" customHeight="1" x14ac:dyDescent="0.2">
      <c r="B72" s="320"/>
      <c r="C72" s="309" t="s">
        <v>72</v>
      </c>
      <c r="D72" s="309"/>
      <c r="E72" s="309"/>
      <c r="F72" s="309"/>
      <c r="G72" s="329"/>
      <c r="H72" s="310">
        <f>G12+G13</f>
        <v>0</v>
      </c>
      <c r="I72" s="334"/>
      <c r="J72" s="312"/>
      <c r="K72" s="313"/>
    </row>
    <row r="73" spans="2:11" ht="17.25" customHeight="1" x14ac:dyDescent="0.2">
      <c r="B73" s="320"/>
      <c r="C73" s="309" t="s">
        <v>73</v>
      </c>
      <c r="D73" s="309"/>
      <c r="E73" s="309"/>
      <c r="F73" s="309"/>
      <c r="G73" s="329"/>
      <c r="H73" s="315">
        <f>G16</f>
        <v>0</v>
      </c>
      <c r="I73" s="334"/>
      <c r="J73" s="312"/>
      <c r="K73" s="313"/>
    </row>
    <row r="74" spans="2:11" ht="17.25" customHeight="1" x14ac:dyDescent="0.2">
      <c r="B74" s="320"/>
      <c r="C74" s="309" t="s">
        <v>74</v>
      </c>
      <c r="D74" s="309"/>
      <c r="E74" s="309"/>
      <c r="F74" s="309"/>
      <c r="G74" s="329"/>
      <c r="H74" s="315">
        <v>0</v>
      </c>
      <c r="I74" s="334"/>
      <c r="J74" s="312"/>
      <c r="K74" s="313"/>
    </row>
    <row r="75" spans="2:11" ht="17.25" customHeight="1" x14ac:dyDescent="0.2">
      <c r="B75" s="320"/>
      <c r="C75" s="309" t="s">
        <v>75</v>
      </c>
      <c r="D75" s="309"/>
      <c r="E75" s="309"/>
      <c r="F75" s="309"/>
      <c r="G75" s="329"/>
      <c r="H75" s="315">
        <f>G17+G18+G21+G22+G23+G24</f>
        <v>0</v>
      </c>
      <c r="I75" s="334"/>
      <c r="J75" s="312"/>
      <c r="K75" s="313"/>
    </row>
    <row r="76" spans="2:11" ht="17.25" customHeight="1" x14ac:dyDescent="0.2">
      <c r="B76" s="320"/>
      <c r="C76" s="309" t="s">
        <v>76</v>
      </c>
      <c r="D76" s="309"/>
      <c r="E76" s="309"/>
      <c r="F76" s="309"/>
      <c r="G76" s="329"/>
      <c r="H76" s="315">
        <f>G34+G33</f>
        <v>0</v>
      </c>
      <c r="I76" s="334"/>
      <c r="J76" s="312"/>
      <c r="K76" s="313"/>
    </row>
    <row r="77" spans="2:11" ht="17.25" customHeight="1" x14ac:dyDescent="0.2">
      <c r="B77" s="320"/>
      <c r="C77" s="309" t="s">
        <v>77</v>
      </c>
      <c r="D77" s="309"/>
      <c r="E77" s="309"/>
      <c r="F77" s="309"/>
      <c r="G77" s="329"/>
      <c r="H77" s="315">
        <v>0</v>
      </c>
      <c r="I77" s="334"/>
      <c r="J77" s="312"/>
      <c r="K77" s="313"/>
    </row>
    <row r="78" spans="2:11" ht="17.25" customHeight="1" x14ac:dyDescent="0.2">
      <c r="B78" s="320"/>
      <c r="C78" s="309" t="s">
        <v>78</v>
      </c>
      <c r="D78" s="309"/>
      <c r="E78" s="309"/>
      <c r="F78" s="309"/>
      <c r="G78" s="329"/>
      <c r="H78" s="315">
        <v>0</v>
      </c>
      <c r="I78" s="334"/>
      <c r="J78" s="312"/>
      <c r="K78" s="313"/>
    </row>
    <row r="79" spans="2:11" ht="17.25" customHeight="1" x14ac:dyDescent="0.2">
      <c r="B79" s="320"/>
      <c r="C79" s="309" t="s">
        <v>79</v>
      </c>
      <c r="D79" s="309"/>
      <c r="E79" s="309"/>
      <c r="F79" s="309"/>
      <c r="G79" s="329"/>
      <c r="H79" s="315">
        <v>0</v>
      </c>
      <c r="I79" s="334"/>
      <c r="J79" s="312"/>
      <c r="K79" s="313"/>
    </row>
    <row r="80" spans="2:11" ht="17.25" customHeight="1" x14ac:dyDescent="0.2">
      <c r="B80" s="320"/>
      <c r="C80" s="309" t="s">
        <v>80</v>
      </c>
      <c r="D80" s="309"/>
      <c r="E80" s="309"/>
      <c r="F80" s="309"/>
      <c r="G80" s="329"/>
      <c r="H80" s="340">
        <f>SUM(H72:H79)</f>
        <v>0</v>
      </c>
      <c r="I80" s="334"/>
      <c r="J80" s="312"/>
      <c r="K80" s="313"/>
    </row>
    <row r="81" spans="2:11" ht="17.25" customHeight="1" x14ac:dyDescent="0.2">
      <c r="B81" s="320"/>
      <c r="C81" s="309"/>
      <c r="D81" s="309"/>
      <c r="E81" s="309"/>
      <c r="F81" s="309"/>
      <c r="G81" s="329"/>
      <c r="H81" s="329"/>
      <c r="I81" s="334"/>
      <c r="J81" s="312"/>
      <c r="K81" s="313"/>
    </row>
    <row r="82" spans="2:11" ht="17.25" customHeight="1" thickBot="1" x14ac:dyDescent="0.25">
      <c r="B82" s="320"/>
      <c r="C82" s="335" t="s">
        <v>81</v>
      </c>
      <c r="D82" s="309"/>
      <c r="E82" s="309"/>
      <c r="F82" s="309"/>
      <c r="G82" s="329"/>
      <c r="H82" s="341">
        <f>H69-H80</f>
        <v>0</v>
      </c>
      <c r="I82" s="150"/>
      <c r="J82" s="312"/>
      <c r="K82" s="313"/>
    </row>
    <row r="83" spans="2:11" ht="17.25" customHeight="1" thickTop="1" x14ac:dyDescent="0.2">
      <c r="B83" s="320"/>
      <c r="C83" s="309" t="s">
        <v>82</v>
      </c>
      <c r="D83" s="309"/>
      <c r="E83" s="309"/>
      <c r="F83" s="309"/>
      <c r="G83" s="342"/>
      <c r="H83" s="342"/>
      <c r="I83" s="334"/>
      <c r="J83" s="312"/>
      <c r="K83" s="313"/>
    </row>
    <row r="84" spans="2:11" ht="17.25" customHeight="1" x14ac:dyDescent="0.2">
      <c r="B84" s="320"/>
      <c r="C84" s="343" t="s">
        <v>83</v>
      </c>
      <c r="D84" s="309"/>
      <c r="E84" s="309"/>
      <c r="F84" s="309"/>
      <c r="G84" s="342"/>
      <c r="H84" s="344">
        <f>H82-H83</f>
        <v>0</v>
      </c>
      <c r="I84" s="345" t="str">
        <f>IF(ABS(H84) &gt; 0.99, "Please ensure variance is nil", "")</f>
        <v/>
      </c>
      <c r="J84" s="312"/>
      <c r="K84" s="313"/>
    </row>
    <row r="85" spans="2:11" ht="17.25" customHeight="1" x14ac:dyDescent="0.2">
      <c r="B85" s="320"/>
      <c r="C85" s="309"/>
      <c r="D85" s="309"/>
      <c r="E85" s="309"/>
      <c r="F85" s="309"/>
      <c r="G85" s="342"/>
      <c r="H85" s="342"/>
      <c r="I85" s="334"/>
      <c r="J85" s="312"/>
      <c r="K85" s="346"/>
    </row>
    <row r="86" spans="2:11" s="292" customFormat="1" ht="17.25" customHeight="1" x14ac:dyDescent="0.2">
      <c r="B86" s="320"/>
      <c r="C86" s="321" t="s">
        <v>84</v>
      </c>
      <c r="D86" s="322"/>
      <c r="E86" s="322"/>
      <c r="F86" s="322"/>
      <c r="G86" s="347"/>
      <c r="H86" s="347"/>
      <c r="I86" s="148"/>
      <c r="J86" s="326"/>
      <c r="K86" s="348"/>
    </row>
    <row r="87" spans="2:11" ht="17.25" customHeight="1" x14ac:dyDescent="0.2">
      <c r="B87" s="320"/>
      <c r="C87" s="309" t="s">
        <v>85</v>
      </c>
      <c r="D87" s="309"/>
      <c r="E87" s="309"/>
      <c r="F87" s="309"/>
      <c r="G87" s="309"/>
      <c r="H87" s="349">
        <v>0</v>
      </c>
      <c r="I87" s="334"/>
      <c r="J87" s="312"/>
      <c r="K87" s="346"/>
    </row>
    <row r="88" spans="2:11" ht="17.25" customHeight="1" x14ac:dyDescent="0.2">
      <c r="B88" s="320"/>
      <c r="C88" s="309" t="s">
        <v>86</v>
      </c>
      <c r="D88" s="309"/>
      <c r="E88" s="309"/>
      <c r="F88" s="309"/>
      <c r="G88" s="309"/>
      <c r="H88" s="349">
        <v>0</v>
      </c>
      <c r="I88" s="334"/>
      <c r="J88" s="312"/>
      <c r="K88" s="346"/>
    </row>
    <row r="89" spans="2:11" ht="17.25" customHeight="1" x14ac:dyDescent="0.2">
      <c r="B89" s="320"/>
      <c r="C89" s="350"/>
      <c r="D89" s="309"/>
      <c r="E89" s="309"/>
      <c r="F89" s="309"/>
      <c r="G89" s="309"/>
      <c r="H89" s="351"/>
      <c r="I89" s="352"/>
      <c r="J89" s="312"/>
      <c r="K89" s="346"/>
    </row>
    <row r="90" spans="2:11" ht="17.25" customHeight="1" x14ac:dyDescent="0.2">
      <c r="B90" s="308" t="s">
        <v>87</v>
      </c>
      <c r="C90" s="309" t="s">
        <v>88</v>
      </c>
      <c r="D90" s="309"/>
      <c r="E90" s="309"/>
      <c r="F90" s="309"/>
      <c r="G90" s="309"/>
      <c r="H90" s="351"/>
      <c r="I90" s="352"/>
      <c r="J90" s="312"/>
      <c r="K90" s="313"/>
    </row>
    <row r="91" spans="2:11" ht="17.25" customHeight="1" x14ac:dyDescent="0.2">
      <c r="B91" s="308"/>
      <c r="C91" s="309"/>
      <c r="D91" s="309"/>
      <c r="E91" s="309"/>
      <c r="F91" s="309"/>
      <c r="G91" s="353">
        <v>31</v>
      </c>
      <c r="H91" s="353">
        <v>30</v>
      </c>
      <c r="I91" s="354"/>
      <c r="J91" s="312"/>
      <c r="K91" s="346"/>
    </row>
    <row r="92" spans="2:11" ht="17.25" customHeight="1" x14ac:dyDescent="0.2">
      <c r="B92" s="308" t="s">
        <v>89</v>
      </c>
      <c r="C92" s="309" t="s">
        <v>90</v>
      </c>
      <c r="D92" s="309"/>
      <c r="E92" s="309"/>
      <c r="F92" s="309"/>
      <c r="G92" s="349"/>
      <c r="H92" s="349"/>
      <c r="I92" s="334"/>
      <c r="K92" s="346"/>
    </row>
    <row r="93" spans="2:11" ht="17.25" customHeight="1" x14ac:dyDescent="0.2">
      <c r="B93" s="308"/>
      <c r="C93" s="309" t="s">
        <v>91</v>
      </c>
      <c r="D93" s="309"/>
      <c r="E93" s="309"/>
      <c r="F93" s="309"/>
      <c r="G93" s="349"/>
      <c r="H93" s="349"/>
      <c r="I93" s="334"/>
      <c r="K93" s="346"/>
    </row>
    <row r="94" spans="2:11" ht="17.25" customHeight="1" x14ac:dyDescent="0.2">
      <c r="B94" s="308"/>
      <c r="C94" s="309"/>
      <c r="D94" s="309"/>
      <c r="E94" s="309"/>
      <c r="F94" s="309"/>
      <c r="G94" s="349"/>
      <c r="H94" s="349"/>
      <c r="I94" s="334"/>
      <c r="K94" s="346"/>
    </row>
    <row r="95" spans="2:11" ht="17.25" customHeight="1" x14ac:dyDescent="0.2">
      <c r="B95" s="308" t="s">
        <v>92</v>
      </c>
      <c r="C95" s="309" t="s">
        <v>93</v>
      </c>
      <c r="D95" s="309"/>
      <c r="E95" s="309"/>
      <c r="F95" s="309"/>
      <c r="G95" s="461">
        <v>0</v>
      </c>
      <c r="H95" s="349"/>
      <c r="I95" s="334"/>
      <c r="K95" s="346"/>
    </row>
    <row r="96" spans="2:11" ht="17.25" customHeight="1" x14ac:dyDescent="0.2">
      <c r="B96" s="308" t="s">
        <v>94</v>
      </c>
      <c r="C96" s="309" t="s">
        <v>95</v>
      </c>
      <c r="D96" s="309"/>
      <c r="E96" s="309"/>
      <c r="F96" s="309"/>
      <c r="G96" s="461">
        <v>0</v>
      </c>
      <c r="H96" s="351"/>
      <c r="I96" s="352"/>
      <c r="K96" s="346"/>
    </row>
    <row r="97" spans="2:11" ht="17.25" customHeight="1" x14ac:dyDescent="0.2">
      <c r="B97" s="308" t="s">
        <v>87</v>
      </c>
      <c r="C97" s="309" t="s">
        <v>96</v>
      </c>
      <c r="D97" s="309"/>
      <c r="E97" s="309"/>
      <c r="F97" s="355" t="s">
        <v>97</v>
      </c>
      <c r="G97" s="356"/>
      <c r="H97" s="351"/>
      <c r="I97" s="352"/>
      <c r="K97" s="346"/>
    </row>
    <row r="98" spans="2:11" ht="17.25" customHeight="1" x14ac:dyDescent="0.2">
      <c r="B98" s="308"/>
      <c r="C98" s="309"/>
      <c r="D98" s="309"/>
      <c r="E98" s="309"/>
      <c r="F98" s="309"/>
      <c r="G98" s="309"/>
      <c r="H98" s="351"/>
      <c r="I98" s="352"/>
      <c r="K98" s="346"/>
    </row>
    <row r="99" spans="2:11" ht="17.25" customHeight="1" x14ac:dyDescent="0.2">
      <c r="B99" s="308"/>
      <c r="C99" s="309"/>
      <c r="D99" s="309"/>
      <c r="E99" s="309"/>
      <c r="F99" s="309"/>
      <c r="G99" s="309"/>
      <c r="H99" s="309"/>
      <c r="K99" s="346"/>
    </row>
    <row r="100" spans="2:11" ht="17.25" customHeight="1" x14ac:dyDescent="0.2">
      <c r="B100" s="304" t="s">
        <v>98</v>
      </c>
      <c r="C100" s="309"/>
      <c r="D100" s="355" t="s">
        <v>97</v>
      </c>
      <c r="E100" s="309"/>
      <c r="F100" s="309"/>
      <c r="G100" s="309"/>
      <c r="H100" s="342"/>
      <c r="I100" s="334"/>
      <c r="K100" s="346"/>
    </row>
    <row r="101" spans="2:11" ht="17.25" customHeight="1" x14ac:dyDescent="0.2">
      <c r="B101" s="320"/>
      <c r="C101" s="309"/>
      <c r="D101" s="309"/>
      <c r="E101" s="309"/>
      <c r="F101" s="309"/>
      <c r="G101" s="309"/>
      <c r="H101" s="351"/>
      <c r="I101" s="352"/>
      <c r="K101" s="346"/>
    </row>
    <row r="102" spans="2:11" ht="17.25" customHeight="1" x14ac:dyDescent="0.2">
      <c r="B102" s="320"/>
      <c r="C102" s="309"/>
      <c r="D102" s="309"/>
      <c r="E102" s="309"/>
      <c r="F102" s="309"/>
      <c r="G102" s="309"/>
      <c r="H102" s="309"/>
      <c r="K102" s="346"/>
    </row>
    <row r="103" spans="2:11" ht="17.25" customHeight="1" x14ac:dyDescent="0.2">
      <c r="B103" s="320"/>
      <c r="C103" s="309"/>
      <c r="D103" s="309"/>
      <c r="E103" s="309"/>
      <c r="F103" s="309"/>
      <c r="G103" s="309"/>
      <c r="H103" s="309"/>
      <c r="K103" s="346"/>
    </row>
    <row r="104" spans="2:11" ht="17.25" customHeight="1" x14ac:dyDescent="0.2">
      <c r="B104" s="357"/>
      <c r="C104" s="358"/>
      <c r="D104" s="358"/>
      <c r="E104" s="358"/>
      <c r="F104" s="358"/>
      <c r="G104" s="358"/>
      <c r="H104" s="358"/>
      <c r="I104" s="359"/>
      <c r="J104" s="359"/>
      <c r="K104" s="360"/>
    </row>
  </sheetData>
  <mergeCells count="4">
    <mergeCell ref="A1:D1"/>
    <mergeCell ref="A3:B3"/>
    <mergeCell ref="A5:B5"/>
    <mergeCell ref="A2:B2"/>
  </mergeCells>
  <phoneticPr fontId="48" type="noConversion"/>
  <conditionalFormatting sqref="I84">
    <cfRule type="containsText" dxfId="3" priority="1" operator="containsText" text="Please">
      <formula>NOT(ISERROR(SEARCH("Please",I84)))</formula>
    </cfRule>
  </conditionalFormatting>
  <dataValidations count="1">
    <dataValidation type="list" allowBlank="1" showInputMessage="1" showErrorMessage="1" sqref="F97 D100" xr:uid="{00000000-0002-0000-0300-000000000000}">
      <formula1>"Select,Yes,No"</formula1>
    </dataValidation>
  </dataValidations>
  <pageMargins left="0.70866141732283472" right="0.70866141732283472" top="0.74803149606299213" bottom="0.74803149606299213" header="0.31496062992125984" footer="0.31496062992125984"/>
  <pageSetup paperSize="9" scale="59" orientation="portrait" r:id="rId1"/>
  <headerFooter>
    <oddFooter>&amp;L&amp;I&amp;10&amp;"Arial"Reference Number: 116977_1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tabColor theme="5" tint="0.59999389629810485"/>
  </sheetPr>
  <dimension ref="A1:K133"/>
  <sheetViews>
    <sheetView topLeftCell="A14" zoomScaleNormal="100" workbookViewId="0">
      <selection activeCell="C45" sqref="C45"/>
    </sheetView>
  </sheetViews>
  <sheetFormatPr defaultColWidth="9.140625" defaultRowHeight="14.25" customHeight="1" x14ac:dyDescent="0.2"/>
  <cols>
    <col min="1" max="1" width="33.5703125" style="428" customWidth="1"/>
    <col min="2" max="2" width="41" style="428" bestFit="1" customWidth="1"/>
    <col min="3" max="3" width="14.42578125" style="428" customWidth="1"/>
    <col min="4" max="4" width="15.5703125" style="428" customWidth="1"/>
    <col min="5" max="5" width="31.28515625" style="428" bestFit="1" customWidth="1"/>
    <col min="6" max="16384" width="9.140625" style="428"/>
  </cols>
  <sheetData>
    <row r="1" spans="1:11" s="429" customFormat="1" ht="14.25" customHeight="1" x14ac:dyDescent="0.25">
      <c r="A1" s="549" t="s">
        <v>4</v>
      </c>
      <c r="B1" s="549"/>
      <c r="C1" s="549"/>
      <c r="D1" s="549"/>
    </row>
    <row r="2" spans="1:11" s="429" customFormat="1" ht="14.25" customHeight="1" x14ac:dyDescent="0.2">
      <c r="A2" s="289"/>
      <c r="B2" s="289"/>
      <c r="C2" s="289"/>
      <c r="D2" s="289"/>
      <c r="E2" s="362"/>
      <c r="F2" s="362"/>
      <c r="H2" s="362"/>
      <c r="I2" s="362"/>
      <c r="J2" s="362"/>
    </row>
    <row r="3" spans="1:11" s="429" customFormat="1" ht="14.25" customHeight="1" x14ac:dyDescent="0.25">
      <c r="A3" s="290" t="s">
        <v>0</v>
      </c>
      <c r="B3" s="288">
        <f>'Summary - 1 Client name '!C3</f>
        <v>0</v>
      </c>
      <c r="C3" s="380"/>
      <c r="D3" s="289"/>
      <c r="G3" s="362"/>
      <c r="I3" s="362"/>
      <c r="J3" s="362"/>
      <c r="K3" s="362"/>
    </row>
    <row r="4" spans="1:11" s="429" customFormat="1" ht="14.25" customHeight="1" x14ac:dyDescent="0.25">
      <c r="A4" s="290" t="s">
        <v>1</v>
      </c>
      <c r="B4" s="291">
        <f>'Summary - 1 Client name '!C4</f>
        <v>46203</v>
      </c>
      <c r="C4" s="290"/>
      <c r="D4" s="381"/>
      <c r="F4" s="362"/>
      <c r="H4" s="362"/>
      <c r="I4" s="362"/>
      <c r="J4" s="362"/>
    </row>
    <row r="5" spans="1:11" s="429" customFormat="1" ht="14.25" customHeight="1" x14ac:dyDescent="0.25">
      <c r="A5" s="290" t="s">
        <v>2</v>
      </c>
      <c r="B5" s="290" t="s">
        <v>99</v>
      </c>
      <c r="C5" s="289"/>
      <c r="D5" s="382"/>
      <c r="F5" s="362"/>
      <c r="H5" s="362"/>
      <c r="I5" s="362"/>
      <c r="J5" s="362"/>
    </row>
    <row r="6" spans="1:11" s="429" customFormat="1" ht="14.25" customHeight="1" x14ac:dyDescent="0.2">
      <c r="A6" s="363"/>
      <c r="B6" s="430"/>
      <c r="C6" s="362"/>
      <c r="D6" s="362"/>
      <c r="E6" s="362"/>
      <c r="F6" s="362"/>
      <c r="H6" s="362"/>
      <c r="I6" s="362"/>
      <c r="J6" s="362"/>
    </row>
    <row r="7" spans="1:11" s="429" customFormat="1" ht="14.25" customHeight="1" x14ac:dyDescent="0.2">
      <c r="A7" s="364"/>
      <c r="B7" s="365"/>
      <c r="C7" s="364"/>
      <c r="D7" s="364"/>
      <c r="E7" s="431"/>
      <c r="F7" s="431"/>
      <c r="H7" s="431"/>
      <c r="I7" s="364"/>
      <c r="J7" s="364"/>
    </row>
    <row r="8" spans="1:11" s="429" customFormat="1" ht="14.25" customHeight="1" x14ac:dyDescent="0.2">
      <c r="B8" s="366"/>
      <c r="C8" s="366"/>
      <c r="D8" s="366"/>
    </row>
    <row r="9" spans="1:11" ht="14.25" customHeight="1" x14ac:dyDescent="0.2">
      <c r="B9" s="367" t="s">
        <v>9</v>
      </c>
      <c r="C9" s="367" t="s">
        <v>100</v>
      </c>
      <c r="D9" s="367" t="s">
        <v>101</v>
      </c>
    </row>
    <row r="10" spans="1:11" ht="14.25" customHeight="1" x14ac:dyDescent="0.2">
      <c r="C10" s="169"/>
    </row>
    <row r="11" spans="1:11" ht="14.25" customHeight="1" x14ac:dyDescent="0.2">
      <c r="A11" s="432" t="s">
        <v>102</v>
      </c>
      <c r="B11" s="368" t="s">
        <v>362</v>
      </c>
      <c r="C11" s="369">
        <v>1</v>
      </c>
      <c r="D11" s="433"/>
    </row>
    <row r="12" spans="1:11" ht="14.25" customHeight="1" x14ac:dyDescent="0.2">
      <c r="A12" s="370"/>
      <c r="B12" s="428" t="s">
        <v>363</v>
      </c>
      <c r="C12" s="371"/>
      <c r="D12" s="434"/>
    </row>
    <row r="13" spans="1:11" ht="14.25" customHeight="1" x14ac:dyDescent="0.2">
      <c r="A13" s="435"/>
      <c r="B13" s="428" t="s">
        <v>104</v>
      </c>
      <c r="C13" s="372"/>
      <c r="D13" s="434"/>
      <c r="E13" s="199"/>
    </row>
    <row r="14" spans="1:11" ht="14.25" customHeight="1" x14ac:dyDescent="0.2">
      <c r="A14" s="435"/>
      <c r="B14" s="428" t="s">
        <v>105</v>
      </c>
      <c r="C14" s="372"/>
      <c r="D14" s="434"/>
    </row>
    <row r="15" spans="1:11" ht="14.25" customHeight="1" x14ac:dyDescent="0.2">
      <c r="A15" s="435"/>
      <c r="B15" s="428" t="s">
        <v>106</v>
      </c>
      <c r="C15" s="372"/>
      <c r="D15" s="434"/>
    </row>
    <row r="16" spans="1:11" ht="14.25" customHeight="1" x14ac:dyDescent="0.2">
      <c r="A16" s="435"/>
      <c r="B16" s="428" t="s">
        <v>26</v>
      </c>
      <c r="C16" s="372"/>
      <c r="D16" s="434"/>
    </row>
    <row r="17" spans="1:5" ht="14.25" customHeight="1" x14ac:dyDescent="0.2">
      <c r="A17" s="370"/>
      <c r="B17" s="428" t="s">
        <v>107</v>
      </c>
      <c r="C17" s="372"/>
      <c r="D17" s="434"/>
    </row>
    <row r="18" spans="1:5" ht="14.25" customHeight="1" x14ac:dyDescent="0.2">
      <c r="A18" s="435"/>
      <c r="B18" s="428" t="s">
        <v>108</v>
      </c>
      <c r="C18" s="372"/>
      <c r="D18" s="434"/>
      <c r="E18" s="199"/>
    </row>
    <row r="19" spans="1:5" ht="14.25" customHeight="1" x14ac:dyDescent="0.2">
      <c r="A19" s="435"/>
      <c r="C19" s="372"/>
      <c r="D19" s="434"/>
      <c r="E19" s="199"/>
    </row>
    <row r="20" spans="1:5" ht="14.25" customHeight="1" x14ac:dyDescent="0.2">
      <c r="A20" s="435"/>
      <c r="C20" s="373"/>
      <c r="D20" s="434"/>
      <c r="E20" s="374"/>
    </row>
    <row r="21" spans="1:5" ht="14.25" customHeight="1" x14ac:dyDescent="0.2">
      <c r="A21" s="436"/>
      <c r="B21" s="437" t="s">
        <v>109</v>
      </c>
      <c r="C21" s="375"/>
      <c r="D21" s="438">
        <f>SUM(C12:C20)*C11</f>
        <v>0</v>
      </c>
      <c r="E21" s="223"/>
    </row>
    <row r="22" spans="1:5" ht="14.25" customHeight="1" x14ac:dyDescent="0.2">
      <c r="C22" s="169"/>
    </row>
    <row r="23" spans="1:5" ht="14.25" customHeight="1" x14ac:dyDescent="0.2">
      <c r="A23" s="432" t="s">
        <v>110</v>
      </c>
      <c r="B23" s="439"/>
      <c r="C23" s="376"/>
      <c r="D23" s="433"/>
    </row>
    <row r="24" spans="1:5" ht="14.25" customHeight="1" x14ac:dyDescent="0.2">
      <c r="A24" s="435"/>
      <c r="B24" s="428" t="s">
        <v>373</v>
      </c>
      <c r="C24" s="371"/>
      <c r="D24" s="434"/>
      <c r="E24" s="199"/>
    </row>
    <row r="25" spans="1:5" ht="14.25" customHeight="1" x14ac:dyDescent="0.2">
      <c r="A25" s="435"/>
      <c r="B25" s="428" t="s">
        <v>374</v>
      </c>
      <c r="C25" s="371"/>
      <c r="D25" s="434"/>
      <c r="E25" s="199"/>
    </row>
    <row r="26" spans="1:5" ht="14.25" customHeight="1" x14ac:dyDescent="0.2">
      <c r="A26" s="435"/>
      <c r="B26" s="428" t="s">
        <v>375</v>
      </c>
      <c r="C26" s="371"/>
      <c r="D26" s="434"/>
    </row>
    <row r="27" spans="1:5" ht="14.25" customHeight="1" x14ac:dyDescent="0.2">
      <c r="A27" s="435"/>
      <c r="B27" s="428" t="s">
        <v>376</v>
      </c>
      <c r="C27" s="375"/>
      <c r="D27" s="434"/>
    </row>
    <row r="28" spans="1:5" ht="14.25" customHeight="1" x14ac:dyDescent="0.2">
      <c r="A28" s="436"/>
      <c r="B28" s="437" t="s">
        <v>111</v>
      </c>
      <c r="C28" s="375"/>
      <c r="D28" s="438">
        <f>SUM(C23:C27)</f>
        <v>0</v>
      </c>
      <c r="E28" s="223"/>
    </row>
    <row r="29" spans="1:5" ht="14.25" customHeight="1" x14ac:dyDescent="0.2">
      <c r="C29" s="371"/>
      <c r="D29" s="440"/>
    </row>
    <row r="30" spans="1:5" ht="14.25" customHeight="1" x14ac:dyDescent="0.2">
      <c r="A30" s="432" t="s">
        <v>112</v>
      </c>
      <c r="B30" s="439"/>
      <c r="C30" s="376"/>
      <c r="D30" s="433"/>
    </row>
    <row r="31" spans="1:5" ht="14.25" customHeight="1" x14ac:dyDescent="0.2">
      <c r="A31" s="435"/>
      <c r="C31" s="371"/>
      <c r="D31" s="434"/>
    </row>
    <row r="32" spans="1:5" ht="14.25" customHeight="1" x14ac:dyDescent="0.2">
      <c r="A32" s="435"/>
      <c r="C32" s="375"/>
      <c r="D32" s="434"/>
    </row>
    <row r="33" spans="1:5" ht="14.25" customHeight="1" x14ac:dyDescent="0.2">
      <c r="A33" s="436"/>
      <c r="B33" s="437" t="s">
        <v>113</v>
      </c>
      <c r="C33" s="375"/>
      <c r="D33" s="438">
        <f>SUM(C30:C32)</f>
        <v>0</v>
      </c>
    </row>
    <row r="34" spans="1:5" ht="14.25" customHeight="1" x14ac:dyDescent="0.2">
      <c r="C34" s="169"/>
    </row>
    <row r="35" spans="1:5" ht="14.25" customHeight="1" x14ac:dyDescent="0.2">
      <c r="A35" s="432" t="s">
        <v>114</v>
      </c>
      <c r="B35" s="439"/>
      <c r="C35" s="376"/>
      <c r="D35" s="433"/>
    </row>
    <row r="36" spans="1:5" ht="14.25" customHeight="1" x14ac:dyDescent="0.2">
      <c r="A36" s="435"/>
      <c r="C36" s="376"/>
      <c r="D36" s="434"/>
      <c r="E36" s="199"/>
    </row>
    <row r="37" spans="1:5" ht="14.25" customHeight="1" x14ac:dyDescent="0.2">
      <c r="A37" s="435"/>
      <c r="C37" s="375"/>
      <c r="D37" s="434"/>
    </row>
    <row r="38" spans="1:5" ht="14.25" customHeight="1" x14ac:dyDescent="0.2">
      <c r="A38" s="436"/>
      <c r="B38" s="437" t="s">
        <v>115</v>
      </c>
      <c r="C38" s="375"/>
      <c r="D38" s="438">
        <f>SUM(C35:C37)</f>
        <v>0</v>
      </c>
      <c r="E38" s="223"/>
    </row>
    <row r="39" spans="1:5" ht="14.25" customHeight="1" x14ac:dyDescent="0.2">
      <c r="C39" s="169"/>
    </row>
    <row r="40" spans="1:5" ht="14.25" customHeight="1" x14ac:dyDescent="0.2">
      <c r="A40" s="432" t="s">
        <v>116</v>
      </c>
      <c r="B40" s="439"/>
      <c r="C40" s="376"/>
      <c r="D40" s="433"/>
    </row>
    <row r="41" spans="1:5" ht="14.25" customHeight="1" x14ac:dyDescent="0.2">
      <c r="A41" s="435"/>
      <c r="B41" s="428" t="s">
        <v>366</v>
      </c>
      <c r="C41" s="371"/>
      <c r="D41" s="434"/>
      <c r="E41" s="199"/>
    </row>
    <row r="42" spans="1:5" ht="14.25" customHeight="1" x14ac:dyDescent="0.2">
      <c r="A42" s="435"/>
      <c r="B42" s="428" t="s">
        <v>367</v>
      </c>
      <c r="C42" s="371"/>
      <c r="D42" s="434"/>
      <c r="E42" s="199"/>
    </row>
    <row r="43" spans="1:5" ht="14.25" customHeight="1" x14ac:dyDescent="0.2">
      <c r="A43" s="435"/>
      <c r="B43" s="428" t="s">
        <v>368</v>
      </c>
      <c r="C43" s="371"/>
      <c r="D43" s="434"/>
    </row>
    <row r="44" spans="1:5" ht="14.25" customHeight="1" x14ac:dyDescent="0.2">
      <c r="A44" s="435"/>
      <c r="B44" s="428" t="s">
        <v>364</v>
      </c>
      <c r="C44" s="371"/>
      <c r="D44" s="434"/>
    </row>
    <row r="45" spans="1:5" ht="14.25" customHeight="1" x14ac:dyDescent="0.2">
      <c r="A45" s="435"/>
      <c r="B45" s="428" t="s">
        <v>365</v>
      </c>
      <c r="C45" s="371"/>
      <c r="D45" s="434"/>
      <c r="E45" s="199"/>
    </row>
    <row r="46" spans="1:5" ht="14.25" customHeight="1" x14ac:dyDescent="0.2">
      <c r="A46" s="435"/>
      <c r="B46" s="428" t="s">
        <v>107</v>
      </c>
      <c r="C46" s="371"/>
      <c r="D46" s="434"/>
    </row>
    <row r="47" spans="1:5" ht="14.25" customHeight="1" x14ac:dyDescent="0.2">
      <c r="A47" s="435"/>
      <c r="C47" s="371"/>
      <c r="D47" s="434"/>
    </row>
    <row r="48" spans="1:5" ht="14.25" customHeight="1" x14ac:dyDescent="0.2">
      <c r="A48" s="435"/>
      <c r="C48" s="375"/>
      <c r="D48" s="434"/>
    </row>
    <row r="49" spans="1:5" ht="14.25" customHeight="1" x14ac:dyDescent="0.2">
      <c r="A49" s="436"/>
      <c r="B49" s="437" t="s">
        <v>118</v>
      </c>
      <c r="C49" s="375"/>
      <c r="D49" s="438">
        <f>SUM(C40:C48)</f>
        <v>0</v>
      </c>
      <c r="E49" s="223"/>
    </row>
    <row r="50" spans="1:5" ht="14.25" customHeight="1" x14ac:dyDescent="0.2">
      <c r="C50" s="169"/>
    </row>
    <row r="51" spans="1:5" ht="14.25" customHeight="1" x14ac:dyDescent="0.2">
      <c r="A51" s="432" t="s">
        <v>119</v>
      </c>
      <c r="B51" s="439"/>
      <c r="C51" s="376"/>
      <c r="D51" s="433"/>
    </row>
    <row r="52" spans="1:5" ht="14.25" customHeight="1" x14ac:dyDescent="0.2">
      <c r="A52" s="435"/>
      <c r="C52" s="371"/>
      <c r="D52" s="434"/>
    </row>
    <row r="53" spans="1:5" ht="14.25" customHeight="1" x14ac:dyDescent="0.2">
      <c r="A53" s="435"/>
      <c r="C53" s="371"/>
      <c r="D53" s="434"/>
    </row>
    <row r="54" spans="1:5" ht="14.25" customHeight="1" x14ac:dyDescent="0.2">
      <c r="A54" s="436"/>
      <c r="B54" s="437" t="s">
        <v>120</v>
      </c>
      <c r="C54" s="375"/>
      <c r="D54" s="438">
        <f>SUM(C51:C53)</f>
        <v>0</v>
      </c>
    </row>
    <row r="55" spans="1:5" ht="14.25" customHeight="1" x14ac:dyDescent="0.2">
      <c r="C55" s="169"/>
    </row>
    <row r="56" spans="1:5" ht="14.25" customHeight="1" x14ac:dyDescent="0.2">
      <c r="A56" s="432" t="s">
        <v>121</v>
      </c>
      <c r="B56" s="439"/>
      <c r="C56" s="376"/>
      <c r="D56" s="433"/>
    </row>
    <row r="57" spans="1:5" ht="14.25" customHeight="1" x14ac:dyDescent="0.2">
      <c r="A57" s="435"/>
      <c r="C57" s="371"/>
      <c r="D57" s="434"/>
    </row>
    <row r="58" spans="1:5" ht="14.25" customHeight="1" x14ac:dyDescent="0.2">
      <c r="A58" s="435"/>
      <c r="C58" s="371"/>
      <c r="D58" s="434"/>
    </row>
    <row r="59" spans="1:5" ht="14.25" customHeight="1" x14ac:dyDescent="0.2">
      <c r="A59" s="436"/>
      <c r="B59" s="437" t="s">
        <v>122</v>
      </c>
      <c r="C59" s="375"/>
      <c r="D59" s="438">
        <f>SUM(C56:C58)</f>
        <v>0</v>
      </c>
    </row>
    <row r="60" spans="1:5" ht="14.25" customHeight="1" x14ac:dyDescent="0.2">
      <c r="C60" s="169"/>
    </row>
    <row r="61" spans="1:5" ht="14.25" customHeight="1" x14ac:dyDescent="0.2">
      <c r="A61" s="432" t="s">
        <v>123</v>
      </c>
      <c r="B61" s="439"/>
      <c r="C61" s="376"/>
      <c r="D61" s="433"/>
    </row>
    <row r="62" spans="1:5" ht="14.25" customHeight="1" x14ac:dyDescent="0.2">
      <c r="A62" s="435"/>
      <c r="C62" s="371"/>
      <c r="D62" s="434"/>
    </row>
    <row r="63" spans="1:5" ht="14.25" customHeight="1" x14ac:dyDescent="0.2">
      <c r="A63" s="435"/>
      <c r="C63" s="371"/>
      <c r="D63" s="434"/>
    </row>
    <row r="64" spans="1:5" ht="14.25" customHeight="1" x14ac:dyDescent="0.2">
      <c r="A64" s="436"/>
      <c r="B64" s="437" t="s">
        <v>124</v>
      </c>
      <c r="C64" s="375"/>
      <c r="D64" s="438">
        <f>SUM(C61:C63)</f>
        <v>0</v>
      </c>
    </row>
    <row r="65" spans="1:5" ht="14.25" customHeight="1" x14ac:dyDescent="0.2">
      <c r="C65" s="169"/>
    </row>
    <row r="66" spans="1:5" ht="14.25" customHeight="1" x14ac:dyDescent="0.2">
      <c r="A66" s="432" t="s">
        <v>125</v>
      </c>
      <c r="B66" s="439"/>
      <c r="C66" s="376"/>
      <c r="D66" s="433"/>
    </row>
    <row r="67" spans="1:5" ht="14.25" customHeight="1" x14ac:dyDescent="0.2">
      <c r="A67" s="435"/>
      <c r="C67" s="371"/>
      <c r="D67" s="434"/>
      <c r="E67" s="169"/>
    </row>
    <row r="68" spans="1:5" ht="14.25" customHeight="1" x14ac:dyDescent="0.2">
      <c r="A68" s="435"/>
      <c r="C68" s="371"/>
      <c r="D68" s="434"/>
      <c r="E68" s="169"/>
    </row>
    <row r="69" spans="1:5" ht="14.25" customHeight="1" x14ac:dyDescent="0.2">
      <c r="A69" s="436"/>
      <c r="B69" s="437" t="s">
        <v>126</v>
      </c>
      <c r="C69" s="375"/>
      <c r="D69" s="438">
        <f>SUM(C66:C68)</f>
        <v>0</v>
      </c>
    </row>
    <row r="70" spans="1:5" ht="14.25" customHeight="1" x14ac:dyDescent="0.2">
      <c r="C70" s="169"/>
    </row>
    <row r="71" spans="1:5" ht="14.25" customHeight="1" x14ac:dyDescent="0.2">
      <c r="A71" s="432" t="s">
        <v>127</v>
      </c>
      <c r="B71" s="439" t="s">
        <v>548</v>
      </c>
      <c r="C71" s="376"/>
      <c r="D71" s="433"/>
    </row>
    <row r="72" spans="1:5" ht="14.25" customHeight="1" x14ac:dyDescent="0.2">
      <c r="A72" s="435"/>
      <c r="B72" s="428" t="s">
        <v>369</v>
      </c>
      <c r="C72" s="371"/>
      <c r="D72" s="434"/>
    </row>
    <row r="73" spans="1:5" ht="14.25" customHeight="1" x14ac:dyDescent="0.2">
      <c r="A73" s="435"/>
      <c r="B73" s="428" t="s">
        <v>370</v>
      </c>
      <c r="C73" s="371"/>
      <c r="D73" s="434"/>
    </row>
    <row r="74" spans="1:5" ht="14.25" customHeight="1" x14ac:dyDescent="0.2">
      <c r="A74" s="436"/>
      <c r="B74" s="437" t="s">
        <v>128</v>
      </c>
      <c r="C74" s="375"/>
      <c r="D74" s="438">
        <f>SUM(C71:C73)</f>
        <v>0</v>
      </c>
    </row>
    <row r="75" spans="1:5" ht="14.25" customHeight="1" x14ac:dyDescent="0.2">
      <c r="C75" s="169"/>
    </row>
    <row r="76" spans="1:5" ht="14.25" customHeight="1" x14ac:dyDescent="0.2">
      <c r="A76" s="432" t="s">
        <v>129</v>
      </c>
      <c r="B76" s="439"/>
      <c r="C76" s="376"/>
      <c r="D76" s="433"/>
    </row>
    <row r="77" spans="1:5" ht="14.25" customHeight="1" x14ac:dyDescent="0.2">
      <c r="A77" s="435"/>
      <c r="C77" s="371"/>
      <c r="D77" s="441"/>
    </row>
    <row r="78" spans="1:5" ht="14.25" customHeight="1" x14ac:dyDescent="0.2">
      <c r="A78" s="436"/>
      <c r="B78" s="437" t="s">
        <v>130</v>
      </c>
      <c r="C78" s="375"/>
      <c r="D78" s="438">
        <f>SUM(C76:C77)</f>
        <v>0</v>
      </c>
    </row>
    <row r="79" spans="1:5" ht="14.25" customHeight="1" x14ac:dyDescent="0.2">
      <c r="C79" s="169"/>
    </row>
    <row r="80" spans="1:5" ht="14.25" customHeight="1" x14ac:dyDescent="0.2">
      <c r="A80" s="432" t="s">
        <v>131</v>
      </c>
      <c r="B80" s="439" t="s">
        <v>372</v>
      </c>
      <c r="C80" s="376"/>
      <c r="D80" s="442"/>
    </row>
    <row r="81" spans="1:6" ht="14.25" customHeight="1" x14ac:dyDescent="0.2">
      <c r="A81" s="436"/>
      <c r="B81" s="437" t="s">
        <v>132</v>
      </c>
      <c r="C81" s="375"/>
      <c r="D81" s="438">
        <f>C80</f>
        <v>0</v>
      </c>
    </row>
    <row r="82" spans="1:6" ht="14.25" customHeight="1" x14ac:dyDescent="0.2">
      <c r="C82" s="169"/>
    </row>
    <row r="83" spans="1:6" ht="14.25" customHeight="1" x14ac:dyDescent="0.2">
      <c r="A83" s="432" t="s">
        <v>133</v>
      </c>
      <c r="B83" s="439"/>
      <c r="C83" s="376"/>
      <c r="D83" s="442"/>
    </row>
    <row r="84" spans="1:6" ht="14.25" customHeight="1" x14ac:dyDescent="0.2">
      <c r="A84" s="436"/>
      <c r="B84" s="437" t="s">
        <v>134</v>
      </c>
      <c r="C84" s="375"/>
      <c r="D84" s="438">
        <f>C83</f>
        <v>0</v>
      </c>
    </row>
    <row r="85" spans="1:6" ht="14.25" customHeight="1" x14ac:dyDescent="0.2">
      <c r="C85" s="169"/>
    </row>
    <row r="86" spans="1:6" ht="14.25" customHeight="1" x14ac:dyDescent="0.2">
      <c r="A86" s="432" t="s">
        <v>135</v>
      </c>
      <c r="B86" s="439"/>
      <c r="C86" s="376"/>
      <c r="D86" s="442"/>
    </row>
    <row r="87" spans="1:6" ht="14.25" customHeight="1" x14ac:dyDescent="0.2">
      <c r="A87" s="436"/>
      <c r="B87" s="437" t="s">
        <v>136</v>
      </c>
      <c r="C87" s="375"/>
      <c r="D87" s="438">
        <f>C86</f>
        <v>0</v>
      </c>
    </row>
    <row r="88" spans="1:6" ht="14.25" customHeight="1" x14ac:dyDescent="0.2">
      <c r="C88" s="169"/>
    </row>
    <row r="89" spans="1:6" ht="14.25" customHeight="1" x14ac:dyDescent="0.2">
      <c r="A89" s="432" t="s">
        <v>137</v>
      </c>
      <c r="B89" s="439"/>
      <c r="C89" s="376"/>
      <c r="D89" s="433"/>
    </row>
    <row r="90" spans="1:6" ht="14.25" customHeight="1" x14ac:dyDescent="0.2">
      <c r="A90" s="435"/>
      <c r="B90" s="428" t="s">
        <v>371</v>
      </c>
      <c r="C90" s="371"/>
      <c r="D90" s="434"/>
    </row>
    <row r="91" spans="1:6" ht="14.25" customHeight="1" x14ac:dyDescent="0.2">
      <c r="A91" s="435"/>
      <c r="C91" s="371"/>
      <c r="D91" s="441"/>
    </row>
    <row r="92" spans="1:6" ht="14.25" customHeight="1" x14ac:dyDescent="0.2">
      <c r="A92" s="436"/>
      <c r="B92" s="437" t="s">
        <v>138</v>
      </c>
      <c r="C92" s="375"/>
      <c r="D92" s="438">
        <f>SUM(C89:C91)</f>
        <v>0</v>
      </c>
    </row>
    <row r="93" spans="1:6" ht="14.25" customHeight="1" x14ac:dyDescent="0.2">
      <c r="C93" s="169"/>
    </row>
    <row r="94" spans="1:6" ht="14.25" customHeight="1" x14ac:dyDescent="0.2">
      <c r="C94" s="377"/>
    </row>
    <row r="95" spans="1:6" ht="14.25" customHeight="1" thickBot="1" x14ac:dyDescent="0.25">
      <c r="B95" s="232" t="s">
        <v>139</v>
      </c>
      <c r="C95" s="378">
        <f>SUM(C12:C94)</f>
        <v>0</v>
      </c>
      <c r="E95" s="428">
        <f>SUM(D11:D94)</f>
        <v>0</v>
      </c>
      <c r="F95" s="428" t="s">
        <v>140</v>
      </c>
    </row>
    <row r="96" spans="1:6" ht="14.25" customHeight="1" thickTop="1" x14ac:dyDescent="0.2"/>
    <row r="102" spans="1:3" ht="14.25" customHeight="1" x14ac:dyDescent="0.2">
      <c r="B102" s="443"/>
      <c r="C102" s="379"/>
    </row>
    <row r="103" spans="1:3" ht="14.25" customHeight="1" x14ac:dyDescent="0.2">
      <c r="B103" s="443"/>
      <c r="C103" s="379"/>
    </row>
    <row r="104" spans="1:3" ht="14.25" customHeight="1" x14ac:dyDescent="0.2">
      <c r="C104" s="379"/>
    </row>
    <row r="105" spans="1:3" ht="14.25" customHeight="1" x14ac:dyDescent="0.2">
      <c r="C105" s="379"/>
    </row>
    <row r="106" spans="1:3" ht="14.25" customHeight="1" x14ac:dyDescent="0.2">
      <c r="C106" s="379"/>
    </row>
    <row r="107" spans="1:3" ht="14.25" customHeight="1" x14ac:dyDescent="0.2">
      <c r="C107" s="379"/>
    </row>
    <row r="108" spans="1:3" ht="14.25" customHeight="1" x14ac:dyDescent="0.2">
      <c r="C108" s="379"/>
    </row>
    <row r="109" spans="1:3" ht="14.25" customHeight="1" x14ac:dyDescent="0.2">
      <c r="A109" s="160"/>
      <c r="B109" s="160"/>
      <c r="C109" s="160"/>
    </row>
    <row r="110" spans="1:3" ht="14.25" customHeight="1" x14ac:dyDescent="0.2">
      <c r="A110" s="160"/>
      <c r="B110" s="160"/>
      <c r="C110" s="160"/>
    </row>
    <row r="111" spans="1:3" ht="14.25" customHeight="1" x14ac:dyDescent="0.2">
      <c r="A111" s="444"/>
      <c r="B111" s="160"/>
      <c r="C111" s="160"/>
    </row>
    <row r="112" spans="1:3" ht="14.25" customHeight="1" x14ac:dyDescent="0.2">
      <c r="A112" s="444"/>
      <c r="B112" s="160"/>
      <c r="C112" s="160"/>
    </row>
    <row r="113" spans="1:3" ht="14.25" customHeight="1" x14ac:dyDescent="0.2">
      <c r="A113" s="444"/>
      <c r="B113" s="160"/>
      <c r="C113" s="160"/>
    </row>
    <row r="114" spans="1:3" ht="14.25" customHeight="1" x14ac:dyDescent="0.2">
      <c r="A114" s="444"/>
      <c r="B114" s="160"/>
      <c r="C114" s="160"/>
    </row>
    <row r="115" spans="1:3" ht="14.25" customHeight="1" x14ac:dyDescent="0.2">
      <c r="A115" s="444"/>
      <c r="B115" s="160"/>
      <c r="C115" s="160"/>
    </row>
    <row r="116" spans="1:3" ht="14.25" customHeight="1" x14ac:dyDescent="0.2">
      <c r="A116" s="444"/>
      <c r="B116" s="160"/>
      <c r="C116" s="160"/>
    </row>
    <row r="117" spans="1:3" ht="14.25" customHeight="1" x14ac:dyDescent="0.2">
      <c r="A117" s="444"/>
      <c r="B117" s="160"/>
      <c r="C117" s="160"/>
    </row>
    <row r="118" spans="1:3" ht="14.25" customHeight="1" x14ac:dyDescent="0.2">
      <c r="A118" s="444"/>
      <c r="B118" s="160"/>
      <c r="C118" s="160"/>
    </row>
    <row r="119" spans="1:3" ht="14.25" customHeight="1" x14ac:dyDescent="0.2">
      <c r="A119" s="444"/>
      <c r="B119" s="160"/>
      <c r="C119" s="160"/>
    </row>
    <row r="120" spans="1:3" ht="14.25" customHeight="1" x14ac:dyDescent="0.2">
      <c r="A120" s="444"/>
      <c r="B120" s="160"/>
      <c r="C120" s="160"/>
    </row>
    <row r="121" spans="1:3" ht="14.25" customHeight="1" x14ac:dyDescent="0.2">
      <c r="A121" s="444"/>
      <c r="B121" s="160"/>
      <c r="C121" s="160"/>
    </row>
    <row r="122" spans="1:3" ht="14.25" customHeight="1" x14ac:dyDescent="0.2">
      <c r="A122" s="444"/>
      <c r="B122" s="160"/>
      <c r="C122" s="160"/>
    </row>
    <row r="123" spans="1:3" ht="14.25" customHeight="1" x14ac:dyDescent="0.2">
      <c r="A123" s="444"/>
      <c r="B123" s="160"/>
      <c r="C123" s="160"/>
    </row>
    <row r="124" spans="1:3" ht="14.25" customHeight="1" x14ac:dyDescent="0.2">
      <c r="A124" s="444"/>
      <c r="B124" s="160"/>
      <c r="C124" s="160"/>
    </row>
    <row r="125" spans="1:3" ht="14.25" customHeight="1" x14ac:dyDescent="0.2">
      <c r="A125" s="444"/>
      <c r="B125" s="160"/>
      <c r="C125" s="160"/>
    </row>
    <row r="126" spans="1:3" ht="14.25" customHeight="1" x14ac:dyDescent="0.2">
      <c r="A126" s="444"/>
      <c r="B126" s="160"/>
      <c r="C126" s="160"/>
    </row>
    <row r="127" spans="1:3" ht="14.25" customHeight="1" x14ac:dyDescent="0.2">
      <c r="A127" s="444"/>
      <c r="B127" s="160"/>
      <c r="C127" s="160"/>
    </row>
    <row r="128" spans="1:3" ht="14.25" customHeight="1" x14ac:dyDescent="0.2">
      <c r="A128" s="444"/>
      <c r="B128" s="160"/>
      <c r="C128" s="160"/>
    </row>
    <row r="129" spans="1:3" ht="14.25" customHeight="1" x14ac:dyDescent="0.2">
      <c r="A129" s="444"/>
      <c r="B129" s="160"/>
      <c r="C129" s="160"/>
    </row>
    <row r="130" spans="1:3" ht="14.25" customHeight="1" x14ac:dyDescent="0.2">
      <c r="A130" s="160"/>
      <c r="B130" s="160"/>
      <c r="C130" s="160"/>
    </row>
    <row r="131" spans="1:3" ht="14.25" customHeight="1" x14ac:dyDescent="0.2">
      <c r="A131" s="160"/>
      <c r="B131" s="160"/>
      <c r="C131" s="160"/>
    </row>
    <row r="132" spans="1:3" ht="14.25" customHeight="1" x14ac:dyDescent="0.2">
      <c r="A132" s="160"/>
      <c r="B132" s="160"/>
      <c r="C132" s="160"/>
    </row>
    <row r="133" spans="1:3" ht="14.25" customHeight="1" x14ac:dyDescent="0.2">
      <c r="A133" s="160"/>
      <c r="B133" s="160"/>
      <c r="C133" s="160"/>
    </row>
  </sheetData>
  <mergeCells count="1">
    <mergeCell ref="A1:D1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A1:R26"/>
  <sheetViews>
    <sheetView showGridLines="0" workbookViewId="0">
      <selection activeCell="C10" sqref="C10"/>
    </sheetView>
  </sheetViews>
  <sheetFormatPr defaultColWidth="12.42578125" defaultRowHeight="15.75" customHeight="1" x14ac:dyDescent="0.25"/>
  <cols>
    <col min="1" max="16384" width="12.42578125" style="152"/>
  </cols>
  <sheetData>
    <row r="1" spans="1:18" ht="30" customHeight="1" x14ac:dyDescent="0.4">
      <c r="A1" s="153" t="s">
        <v>4</v>
      </c>
      <c r="B1" s="153"/>
      <c r="C1" s="153"/>
      <c r="D1" s="153"/>
    </row>
    <row r="3" spans="1:18" ht="26.25" x14ac:dyDescent="0.4">
      <c r="A3" s="153" t="s">
        <v>142</v>
      </c>
      <c r="B3" s="281"/>
      <c r="C3" s="281"/>
      <c r="D3" s="281"/>
      <c r="E3" s="281"/>
      <c r="F3" s="281"/>
      <c r="G3" s="281"/>
      <c r="H3" s="281"/>
      <c r="I3" s="281"/>
      <c r="J3" s="281"/>
      <c r="K3" s="281"/>
      <c r="L3" s="281"/>
      <c r="M3" s="281"/>
      <c r="N3" s="281"/>
      <c r="O3" s="281"/>
      <c r="P3" s="281"/>
      <c r="Q3" s="281"/>
      <c r="R3" s="281"/>
    </row>
    <row r="7" spans="1:18" s="151" customFormat="1" ht="15.75" customHeight="1" x14ac:dyDescent="0.25">
      <c r="A7" s="539"/>
      <c r="B7" s="539" t="s">
        <v>143</v>
      </c>
      <c r="C7" s="539" t="s">
        <v>144</v>
      </c>
      <c r="D7" s="540" t="s">
        <v>145</v>
      </c>
      <c r="E7" s="540" t="s">
        <v>146</v>
      </c>
      <c r="F7" s="540" t="s">
        <v>147</v>
      </c>
      <c r="G7" s="540" t="s">
        <v>148</v>
      </c>
      <c r="H7" s="540" t="s">
        <v>149</v>
      </c>
      <c r="I7" s="540" t="s">
        <v>150</v>
      </c>
      <c r="J7" s="540" t="s">
        <v>151</v>
      </c>
      <c r="K7" s="540" t="s">
        <v>152</v>
      </c>
      <c r="L7" s="540" t="s">
        <v>153</v>
      </c>
      <c r="M7" s="540" t="s">
        <v>154</v>
      </c>
      <c r="N7" s="540" t="s">
        <v>155</v>
      </c>
      <c r="O7" s="540" t="s">
        <v>156</v>
      </c>
      <c r="P7" s="540" t="s">
        <v>157</v>
      </c>
      <c r="Q7" s="539" t="s">
        <v>158</v>
      </c>
      <c r="R7" s="539" t="s">
        <v>20</v>
      </c>
    </row>
    <row r="8" spans="1:18" s="151" customFormat="1" ht="73.5" x14ac:dyDescent="0.25">
      <c r="A8" s="541" t="s">
        <v>159</v>
      </c>
      <c r="B8" s="542" t="s">
        <v>3</v>
      </c>
      <c r="C8" s="543" t="s">
        <v>160</v>
      </c>
      <c r="D8" s="543" t="s">
        <v>161</v>
      </c>
      <c r="E8" s="543" t="s">
        <v>162</v>
      </c>
      <c r="F8" s="543" t="s">
        <v>163</v>
      </c>
      <c r="G8" s="543" t="s">
        <v>164</v>
      </c>
      <c r="H8" s="543" t="s">
        <v>165</v>
      </c>
      <c r="I8" s="544" t="s">
        <v>166</v>
      </c>
      <c r="J8" s="543" t="s">
        <v>167</v>
      </c>
      <c r="K8" s="543" t="s">
        <v>168</v>
      </c>
      <c r="L8" s="543" t="s">
        <v>169</v>
      </c>
      <c r="M8" s="543" t="s">
        <v>170</v>
      </c>
      <c r="N8" s="543" t="s">
        <v>171</v>
      </c>
      <c r="O8" s="543" t="s">
        <v>172</v>
      </c>
      <c r="P8" s="543" t="s">
        <v>173</v>
      </c>
      <c r="Q8" s="542"/>
      <c r="R8" s="542"/>
    </row>
    <row r="9" spans="1:18" ht="15.75" customHeight="1" x14ac:dyDescent="0.25">
      <c r="A9" s="282">
        <v>1</v>
      </c>
      <c r="B9" s="283"/>
      <c r="C9" s="283"/>
      <c r="D9" s="283"/>
      <c r="E9" s="283"/>
      <c r="F9" s="283"/>
      <c r="G9" s="283"/>
      <c r="H9" s="283"/>
      <c r="I9" s="283"/>
      <c r="J9" s="283"/>
      <c r="K9" s="283"/>
      <c r="L9" s="283"/>
      <c r="M9" s="283"/>
      <c r="N9" s="283"/>
      <c r="O9" s="283"/>
      <c r="P9" s="283"/>
      <c r="Q9" s="283"/>
      <c r="R9" s="282"/>
    </row>
    <row r="10" spans="1:18" ht="15.75" customHeight="1" x14ac:dyDescent="0.25">
      <c r="A10" s="282">
        <v>2</v>
      </c>
      <c r="B10" s="283"/>
      <c r="C10" s="283"/>
      <c r="D10" s="283"/>
      <c r="E10" s="283"/>
      <c r="F10" s="283"/>
      <c r="G10" s="283"/>
      <c r="H10" s="283"/>
      <c r="I10" s="283"/>
      <c r="J10" s="283"/>
      <c r="K10" s="283"/>
      <c r="L10" s="283"/>
      <c r="M10" s="283"/>
      <c r="N10" s="283"/>
      <c r="O10" s="283"/>
      <c r="P10" s="283"/>
      <c r="Q10" s="283"/>
      <c r="R10" s="282"/>
    </row>
    <row r="11" spans="1:18" ht="15.75" customHeight="1" x14ac:dyDescent="0.25">
      <c r="A11" s="282">
        <v>3</v>
      </c>
      <c r="B11" s="283"/>
      <c r="C11" s="283"/>
      <c r="D11" s="283"/>
      <c r="E11" s="283"/>
      <c r="F11" s="283"/>
      <c r="G11" s="283"/>
      <c r="H11" s="283"/>
      <c r="I11" s="283"/>
      <c r="J11" s="283"/>
      <c r="K11" s="283"/>
      <c r="L11" s="283"/>
      <c r="M11" s="283"/>
      <c r="N11" s="283"/>
      <c r="O11" s="283"/>
      <c r="P11" s="283"/>
      <c r="Q11" s="283"/>
      <c r="R11" s="282"/>
    </row>
    <row r="12" spans="1:18" ht="15.75" customHeight="1" x14ac:dyDescent="0.25">
      <c r="A12" s="282">
        <v>4</v>
      </c>
      <c r="B12" s="283"/>
      <c r="C12" s="283"/>
      <c r="D12" s="283"/>
      <c r="E12" s="283"/>
      <c r="F12" s="283"/>
      <c r="G12" s="283"/>
      <c r="H12" s="283"/>
      <c r="I12" s="283"/>
      <c r="J12" s="283"/>
      <c r="K12" s="283"/>
      <c r="L12" s="283"/>
      <c r="M12" s="283"/>
      <c r="N12" s="283"/>
      <c r="O12" s="283"/>
      <c r="P12" s="283"/>
      <c r="Q12" s="283"/>
      <c r="R12" s="282"/>
    </row>
    <row r="13" spans="1:18" ht="15.75" customHeight="1" x14ac:dyDescent="0.25">
      <c r="A13" s="282">
        <v>5</v>
      </c>
      <c r="B13" s="283"/>
      <c r="C13" s="283"/>
      <c r="D13" s="283"/>
      <c r="E13" s="283"/>
      <c r="F13" s="283"/>
      <c r="G13" s="283"/>
      <c r="H13" s="283"/>
      <c r="I13" s="283"/>
      <c r="J13" s="283"/>
      <c r="K13" s="283"/>
      <c r="L13" s="283"/>
      <c r="M13" s="283"/>
      <c r="N13" s="283"/>
      <c r="O13" s="283"/>
      <c r="P13" s="283"/>
      <c r="Q13" s="283"/>
      <c r="R13" s="282"/>
    </row>
    <row r="14" spans="1:18" ht="15.75" customHeight="1" x14ac:dyDescent="0.25">
      <c r="A14" s="155" t="s">
        <v>101</v>
      </c>
      <c r="B14" s="155"/>
      <c r="C14" s="155">
        <f>SUM(C9:C13)</f>
        <v>0</v>
      </c>
      <c r="D14" s="155">
        <f t="shared" ref="D14:Q14" si="0">SUM(D9:D13)</f>
        <v>0</v>
      </c>
      <c r="E14" s="155">
        <f t="shared" si="0"/>
        <v>0</v>
      </c>
      <c r="F14" s="155">
        <f t="shared" si="0"/>
        <v>0</v>
      </c>
      <c r="G14" s="155">
        <f t="shared" si="0"/>
        <v>0</v>
      </c>
      <c r="H14" s="155">
        <f t="shared" si="0"/>
        <v>0</v>
      </c>
      <c r="I14" s="155">
        <f t="shared" si="0"/>
        <v>0</v>
      </c>
      <c r="J14" s="155">
        <f t="shared" si="0"/>
        <v>0</v>
      </c>
      <c r="K14" s="155">
        <f t="shared" si="0"/>
        <v>0</v>
      </c>
      <c r="L14" s="155">
        <f t="shared" si="0"/>
        <v>0</v>
      </c>
      <c r="M14" s="155">
        <f t="shared" si="0"/>
        <v>0</v>
      </c>
      <c r="N14" s="155">
        <f t="shared" si="0"/>
        <v>0</v>
      </c>
      <c r="O14" s="155">
        <f t="shared" si="0"/>
        <v>0</v>
      </c>
      <c r="P14" s="155">
        <f t="shared" si="0"/>
        <v>0</v>
      </c>
      <c r="Q14" s="155">
        <f t="shared" si="0"/>
        <v>0</v>
      </c>
      <c r="R14" s="284"/>
    </row>
    <row r="18" spans="2:3" ht="15.75" customHeight="1" x14ac:dyDescent="0.25">
      <c r="B18" s="156" t="s">
        <v>174</v>
      </c>
      <c r="C18" s="285"/>
    </row>
    <row r="19" spans="2:3" ht="15.75" customHeight="1" x14ac:dyDescent="0.25">
      <c r="B19" s="286" t="s">
        <v>175</v>
      </c>
      <c r="C19" s="284">
        <f>+C14+D14</f>
        <v>0</v>
      </c>
    </row>
    <row r="20" spans="2:3" ht="15.75" customHeight="1" x14ac:dyDescent="0.25">
      <c r="B20" s="286" t="s">
        <v>176</v>
      </c>
      <c r="C20" s="284">
        <f>+E14+F14</f>
        <v>0</v>
      </c>
    </row>
    <row r="21" spans="2:3" ht="15.75" customHeight="1" x14ac:dyDescent="0.25">
      <c r="B21" s="286" t="s">
        <v>177</v>
      </c>
      <c r="C21" s="284">
        <f>+I14</f>
        <v>0</v>
      </c>
    </row>
    <row r="22" spans="2:3" ht="15.75" customHeight="1" x14ac:dyDescent="0.25">
      <c r="B22" s="286" t="s">
        <v>178</v>
      </c>
      <c r="C22" s="284">
        <f>+K14</f>
        <v>0</v>
      </c>
    </row>
    <row r="23" spans="2:3" ht="15.75" customHeight="1" x14ac:dyDescent="0.25">
      <c r="B23" s="286" t="s">
        <v>179</v>
      </c>
      <c r="C23" s="284">
        <f>+M14</f>
        <v>0</v>
      </c>
    </row>
    <row r="24" spans="2:3" ht="15.75" customHeight="1" x14ac:dyDescent="0.25">
      <c r="B24" s="157" t="s">
        <v>101</v>
      </c>
      <c r="C24" s="155">
        <f>SUM(C19:C23)</f>
        <v>0</v>
      </c>
    </row>
    <row r="26" spans="2:3" ht="15.75" customHeight="1" x14ac:dyDescent="0.25">
      <c r="B26" s="281" t="s">
        <v>180</v>
      </c>
      <c r="C26" s="281" t="b">
        <f>+C24=R14</f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theme="8" tint="0.39997558519241921"/>
    <pageSetUpPr fitToPage="1"/>
  </sheetPr>
  <dimension ref="A1:U104"/>
  <sheetViews>
    <sheetView zoomScaleNormal="100" workbookViewId="0">
      <selection activeCell="G53" sqref="G53"/>
    </sheetView>
  </sheetViews>
  <sheetFormatPr defaultColWidth="9.140625" defaultRowHeight="15" customHeight="1" x14ac:dyDescent="0.2"/>
  <cols>
    <col min="1" max="1" width="11.5703125" style="298" bestFit="1" customWidth="1"/>
    <col min="2" max="2" width="11.28515625" style="292" customWidth="1"/>
    <col min="3" max="3" width="21.140625" style="298" customWidth="1"/>
    <col min="4" max="4" width="11" style="298" customWidth="1"/>
    <col min="5" max="5" width="10.7109375" style="298" customWidth="1"/>
    <col min="6" max="6" width="30.85546875" style="298" customWidth="1"/>
    <col min="7" max="7" width="13.42578125" style="298" customWidth="1"/>
    <col min="8" max="8" width="14.28515625" style="298" customWidth="1"/>
    <col min="9" max="9" width="22" style="298" customWidth="1"/>
    <col min="10" max="10" width="28.7109375" style="298" customWidth="1"/>
    <col min="11" max="11" width="21.28515625" style="299" bestFit="1" customWidth="1"/>
    <col min="12" max="25" width="9.140625" style="298"/>
    <col min="26" max="26" width="16.140625" style="298" customWidth="1"/>
    <col min="27" max="16384" width="9.140625" style="298"/>
  </cols>
  <sheetData>
    <row r="1" spans="1:12" s="292" customFormat="1" ht="15" customHeight="1" x14ac:dyDescent="0.25">
      <c r="A1" s="549" t="s">
        <v>4</v>
      </c>
      <c r="B1" s="549"/>
      <c r="C1" s="549"/>
      <c r="D1" s="549"/>
      <c r="J1" s="293" t="s">
        <v>13</v>
      </c>
      <c r="K1" s="294"/>
    </row>
    <row r="2" spans="1:12" s="292" customFormat="1" ht="15" customHeight="1" x14ac:dyDescent="0.2">
      <c r="A2" s="550"/>
      <c r="B2" s="550"/>
      <c r="C2" s="289"/>
      <c r="D2" s="289"/>
      <c r="K2" s="294"/>
    </row>
    <row r="3" spans="1:12" s="292" customFormat="1" ht="15" customHeight="1" x14ac:dyDescent="0.25">
      <c r="A3" s="551" t="s">
        <v>0</v>
      </c>
      <c r="B3" s="551"/>
      <c r="C3" s="288"/>
      <c r="D3" s="289"/>
      <c r="K3" s="294"/>
    </row>
    <row r="4" spans="1:12" s="292" customFormat="1" ht="15" customHeight="1" x14ac:dyDescent="0.25">
      <c r="A4" s="290" t="s">
        <v>1</v>
      </c>
      <c r="B4" s="289"/>
      <c r="C4" s="291">
        <v>46203</v>
      </c>
      <c r="D4" s="290"/>
      <c r="E4" s="296"/>
      <c r="F4" s="295"/>
      <c r="K4" s="294"/>
    </row>
    <row r="5" spans="1:12" s="292" customFormat="1" ht="15" customHeight="1" x14ac:dyDescent="0.25">
      <c r="A5" s="551" t="s">
        <v>2</v>
      </c>
      <c r="B5" s="551"/>
      <c r="C5" s="290" t="s">
        <v>14</v>
      </c>
      <c r="D5" s="289"/>
      <c r="F5" s="297"/>
      <c r="K5" s="294"/>
    </row>
    <row r="6" spans="1:12" ht="15" customHeight="1" x14ac:dyDescent="0.2">
      <c r="A6" s="292"/>
      <c r="C6" s="292"/>
      <c r="D6" s="292"/>
    </row>
    <row r="7" spans="1:12" ht="15" customHeight="1" x14ac:dyDescent="0.2">
      <c r="C7" s="292"/>
      <c r="D7" s="292"/>
      <c r="L7" s="300"/>
    </row>
    <row r="8" spans="1:12" ht="15" customHeight="1" x14ac:dyDescent="0.2">
      <c r="B8" s="296"/>
      <c r="C8" s="301"/>
      <c r="D8" s="302"/>
      <c r="E8" s="302"/>
      <c r="F8" s="302"/>
      <c r="G8" s="302"/>
      <c r="H8" s="302"/>
      <c r="I8" s="302"/>
      <c r="K8" s="300"/>
      <c r="L8" s="300"/>
    </row>
    <row r="9" spans="1:12" ht="15" customHeight="1" x14ac:dyDescent="0.2">
      <c r="B9" s="296"/>
      <c r="C9" s="302"/>
      <c r="D9" s="302"/>
      <c r="E9" s="302"/>
      <c r="F9" s="302"/>
      <c r="G9" s="302"/>
      <c r="H9" s="302"/>
      <c r="I9" s="302"/>
      <c r="K9" s="300"/>
      <c r="L9" s="300"/>
    </row>
    <row r="10" spans="1:12" s="292" customFormat="1" ht="15" customHeight="1" x14ac:dyDescent="0.2">
      <c r="B10" s="525" t="s">
        <v>16</v>
      </c>
      <c r="C10" s="526" t="s">
        <v>17</v>
      </c>
      <c r="D10" s="526"/>
      <c r="E10" s="526"/>
      <c r="F10" s="526"/>
      <c r="G10" s="527" t="s">
        <v>18</v>
      </c>
      <c r="H10" s="527" t="s">
        <v>19</v>
      </c>
      <c r="I10" s="527" t="s">
        <v>20</v>
      </c>
      <c r="J10" s="527" t="s">
        <v>21</v>
      </c>
      <c r="K10" s="528" t="s">
        <v>22</v>
      </c>
      <c r="L10" s="303"/>
    </row>
    <row r="11" spans="1:12" ht="15" customHeight="1" x14ac:dyDescent="0.2">
      <c r="B11" s="304"/>
      <c r="C11" s="305" t="s">
        <v>23</v>
      </c>
      <c r="D11" s="306"/>
      <c r="E11" s="306"/>
      <c r="F11" s="306"/>
      <c r="G11" s="306"/>
      <c r="H11" s="306"/>
      <c r="I11" s="302"/>
      <c r="J11" s="302"/>
      <c r="K11" s="307"/>
      <c r="L11" s="300"/>
    </row>
    <row r="12" spans="1:12" ht="15" customHeight="1" x14ac:dyDescent="0.2">
      <c r="B12" s="308">
        <v>1</v>
      </c>
      <c r="C12" s="309" t="s">
        <v>24</v>
      </c>
      <c r="D12" s="309"/>
      <c r="E12" s="309"/>
      <c r="F12" s="309"/>
      <c r="G12" s="310">
        <v>0</v>
      </c>
      <c r="H12" s="310">
        <v>0</v>
      </c>
      <c r="I12" s="311"/>
      <c r="J12" s="312"/>
      <c r="K12" s="313"/>
    </row>
    <row r="13" spans="1:12" ht="15" customHeight="1" x14ac:dyDescent="0.2">
      <c r="B13" s="308">
        <v>1</v>
      </c>
      <c r="C13" s="309" t="s">
        <v>24</v>
      </c>
      <c r="D13" s="309"/>
      <c r="E13" s="309"/>
      <c r="F13" s="309"/>
      <c r="G13" s="310">
        <v>0</v>
      </c>
      <c r="H13" s="310">
        <v>0</v>
      </c>
      <c r="I13" s="314"/>
      <c r="J13" s="312"/>
      <c r="K13" s="313"/>
    </row>
    <row r="14" spans="1:12" ht="15" customHeight="1" x14ac:dyDescent="0.2">
      <c r="B14" s="308">
        <v>2</v>
      </c>
      <c r="C14" s="309" t="s">
        <v>25</v>
      </c>
      <c r="D14" s="309"/>
      <c r="E14" s="309"/>
      <c r="F14" s="309"/>
      <c r="G14" s="310"/>
      <c r="H14" s="310"/>
      <c r="I14" s="314"/>
      <c r="J14" s="312"/>
      <c r="K14" s="313"/>
    </row>
    <row r="15" spans="1:12" ht="15" customHeight="1" x14ac:dyDescent="0.2">
      <c r="B15" s="308"/>
      <c r="C15" s="309"/>
      <c r="D15" s="309"/>
      <c r="E15" s="309"/>
      <c r="F15" s="309"/>
      <c r="G15" s="310"/>
      <c r="H15" s="310"/>
      <c r="I15" s="314"/>
      <c r="J15" s="312"/>
      <c r="K15" s="313"/>
    </row>
    <row r="16" spans="1:12" ht="15" customHeight="1" x14ac:dyDescent="0.2">
      <c r="B16" s="308">
        <v>10</v>
      </c>
      <c r="C16" s="309" t="s">
        <v>26</v>
      </c>
      <c r="D16" s="309"/>
      <c r="E16" s="309"/>
      <c r="F16" s="309"/>
      <c r="G16" s="315">
        <v>0</v>
      </c>
      <c r="H16" s="316">
        <v>0</v>
      </c>
      <c r="I16" s="311"/>
      <c r="J16" s="312"/>
      <c r="K16" s="313"/>
    </row>
    <row r="17" spans="2:11" ht="15" customHeight="1" x14ac:dyDescent="0.2">
      <c r="B17" s="308">
        <v>11</v>
      </c>
      <c r="C17" s="309" t="s">
        <v>27</v>
      </c>
      <c r="D17" s="309"/>
      <c r="E17" s="309"/>
      <c r="F17" s="309"/>
      <c r="G17" s="315">
        <f>'Dividend Summary Ind'!E52</f>
        <v>0</v>
      </c>
      <c r="H17" s="315">
        <f>'Dividend Summary Ind'!D52+'Dividend Summary Ind'!C52</f>
        <v>0</v>
      </c>
      <c r="I17" s="314"/>
      <c r="J17" s="312"/>
      <c r="K17" s="313"/>
    </row>
    <row r="18" spans="2:11" ht="15" customHeight="1" x14ac:dyDescent="0.2">
      <c r="B18" s="308">
        <v>11</v>
      </c>
      <c r="C18" s="309" t="s">
        <v>27</v>
      </c>
      <c r="D18" s="309"/>
      <c r="E18" s="309"/>
      <c r="F18" s="309"/>
      <c r="G18" s="315">
        <f>'Dividend Summary Ind'!E53</f>
        <v>0</v>
      </c>
      <c r="H18" s="315">
        <v>0</v>
      </c>
      <c r="I18" s="314"/>
      <c r="J18" s="312"/>
      <c r="K18" s="313"/>
    </row>
    <row r="19" spans="2:11" ht="15" customHeight="1" x14ac:dyDescent="0.2">
      <c r="B19" s="308">
        <v>12</v>
      </c>
      <c r="C19" s="309" t="s">
        <v>539</v>
      </c>
      <c r="D19" s="309"/>
      <c r="E19" s="309"/>
      <c r="F19" s="309"/>
      <c r="G19" s="315"/>
      <c r="H19" s="315"/>
      <c r="I19" s="314"/>
      <c r="J19" s="312"/>
      <c r="K19" s="313"/>
    </row>
    <row r="20" spans="2:11" ht="15" customHeight="1" x14ac:dyDescent="0.2">
      <c r="B20" s="308"/>
      <c r="C20" s="309"/>
      <c r="D20" s="309"/>
      <c r="E20" s="309"/>
      <c r="F20" s="309"/>
      <c r="G20" s="315"/>
      <c r="H20" s="315"/>
      <c r="I20" s="314"/>
      <c r="J20" s="312"/>
      <c r="K20" s="313"/>
    </row>
    <row r="21" spans="2:11" ht="15" customHeight="1" x14ac:dyDescent="0.2">
      <c r="B21" s="308">
        <v>13</v>
      </c>
      <c r="C21" s="309" t="s">
        <v>28</v>
      </c>
      <c r="D21" s="309"/>
      <c r="E21" s="309" t="s">
        <v>540</v>
      </c>
      <c r="F21" s="309"/>
      <c r="G21" s="315">
        <v>0</v>
      </c>
      <c r="H21" s="315">
        <v>0</v>
      </c>
      <c r="I21" s="314"/>
      <c r="J21" s="312"/>
      <c r="K21" s="313"/>
    </row>
    <row r="22" spans="2:11" ht="15" customHeight="1" x14ac:dyDescent="0.2">
      <c r="B22" s="308"/>
      <c r="C22" s="309"/>
      <c r="D22" s="309"/>
      <c r="E22" s="309" t="s">
        <v>541</v>
      </c>
      <c r="F22" s="309"/>
      <c r="G22" s="315"/>
      <c r="H22" s="315"/>
      <c r="I22" s="314"/>
      <c r="J22" s="312"/>
      <c r="K22" s="313"/>
    </row>
    <row r="23" spans="2:11" ht="15" customHeight="1" x14ac:dyDescent="0.2">
      <c r="B23" s="308">
        <v>13</v>
      </c>
      <c r="C23" s="309" t="s">
        <v>28</v>
      </c>
      <c r="D23" s="309"/>
      <c r="E23" s="309" t="s">
        <v>540</v>
      </c>
      <c r="F23" s="309"/>
      <c r="G23" s="315">
        <v>0</v>
      </c>
      <c r="H23" s="315">
        <v>0</v>
      </c>
      <c r="I23" s="314"/>
      <c r="J23" s="312"/>
      <c r="K23" s="313"/>
    </row>
    <row r="24" spans="2:11" ht="15" customHeight="1" x14ac:dyDescent="0.2">
      <c r="B24" s="308"/>
      <c r="C24" s="309"/>
      <c r="D24" s="309"/>
      <c r="E24" s="309" t="s">
        <v>541</v>
      </c>
      <c r="F24" s="309"/>
      <c r="G24" s="315"/>
      <c r="H24" s="315"/>
      <c r="I24" s="314"/>
      <c r="J24" s="312"/>
      <c r="K24" s="313"/>
    </row>
    <row r="25" spans="2:11" ht="15" customHeight="1" x14ac:dyDescent="0.2">
      <c r="B25" s="308"/>
      <c r="C25" s="309"/>
      <c r="D25" s="309"/>
      <c r="E25" s="309"/>
      <c r="F25" s="309"/>
      <c r="G25" s="315"/>
      <c r="H25" s="315"/>
      <c r="I25" s="314"/>
      <c r="J25" s="312"/>
      <c r="K25" s="313"/>
    </row>
    <row r="26" spans="2:11" ht="15" customHeight="1" x14ac:dyDescent="0.2">
      <c r="B26" s="308">
        <v>15</v>
      </c>
      <c r="C26" s="309" t="s">
        <v>414</v>
      </c>
      <c r="D26" s="309"/>
      <c r="E26" s="309"/>
      <c r="F26" s="309"/>
      <c r="G26" s="315"/>
      <c r="H26" s="317">
        <f>'Share Register'!E69</f>
        <v>0</v>
      </c>
      <c r="I26" s="318"/>
      <c r="J26" s="312"/>
      <c r="K26" s="313"/>
    </row>
    <row r="27" spans="2:11" ht="15" customHeight="1" x14ac:dyDescent="0.2">
      <c r="B27" s="308">
        <v>16</v>
      </c>
      <c r="C27" s="309" t="s">
        <v>415</v>
      </c>
      <c r="D27" s="309"/>
      <c r="E27" s="309"/>
      <c r="F27" s="309"/>
      <c r="G27" s="315"/>
      <c r="H27" s="315">
        <v>0</v>
      </c>
      <c r="I27" s="314"/>
      <c r="J27" s="312"/>
      <c r="K27" s="313"/>
    </row>
    <row r="28" spans="2:11" ht="15" customHeight="1" x14ac:dyDescent="0.2">
      <c r="B28" s="308"/>
      <c r="C28" s="309"/>
      <c r="D28" s="309"/>
      <c r="E28" s="309"/>
      <c r="F28" s="309"/>
      <c r="G28" s="315"/>
      <c r="H28" s="315"/>
      <c r="I28" s="314"/>
      <c r="J28" s="312"/>
      <c r="K28" s="313"/>
    </row>
    <row r="29" spans="2:11" ht="15" customHeight="1" x14ac:dyDescent="0.2">
      <c r="B29" s="308">
        <v>18</v>
      </c>
      <c r="C29" s="309" t="s">
        <v>544</v>
      </c>
      <c r="D29" s="309"/>
      <c r="E29" s="309"/>
      <c r="F29" s="309"/>
      <c r="G29" s="315"/>
      <c r="H29" s="315"/>
      <c r="I29" s="314"/>
      <c r="J29" s="312"/>
      <c r="K29" s="313"/>
    </row>
    <row r="30" spans="2:11" ht="15" customHeight="1" x14ac:dyDescent="0.2">
      <c r="B30" s="308">
        <v>18</v>
      </c>
      <c r="C30" s="309" t="s">
        <v>545</v>
      </c>
      <c r="D30" s="309"/>
      <c r="E30" s="309"/>
      <c r="F30" s="309"/>
      <c r="G30" s="315"/>
      <c r="H30" s="317">
        <f>'Share Register'!E72</f>
        <v>0</v>
      </c>
      <c r="I30" s="318"/>
      <c r="J30" s="312"/>
      <c r="K30" s="313"/>
    </row>
    <row r="31" spans="2:11" ht="15" customHeight="1" x14ac:dyDescent="0.2">
      <c r="B31" s="308">
        <v>18</v>
      </c>
      <c r="C31" s="309" t="s">
        <v>546</v>
      </c>
      <c r="D31" s="309"/>
      <c r="E31" s="309"/>
      <c r="F31" s="309"/>
      <c r="G31" s="315"/>
      <c r="H31" s="315">
        <v>0</v>
      </c>
      <c r="I31" s="314"/>
      <c r="J31" s="312"/>
      <c r="K31" s="313"/>
    </row>
    <row r="32" spans="2:11" ht="15" customHeight="1" x14ac:dyDescent="0.2">
      <c r="B32" s="308"/>
      <c r="C32" s="309"/>
      <c r="D32" s="309"/>
      <c r="E32" s="309"/>
      <c r="F32" s="309"/>
      <c r="G32" s="315"/>
      <c r="H32" s="315"/>
      <c r="I32" s="314"/>
      <c r="J32" s="312"/>
      <c r="K32" s="313"/>
    </row>
    <row r="33" spans="2:16" ht="15" customHeight="1" x14ac:dyDescent="0.2">
      <c r="B33" s="308">
        <v>20</v>
      </c>
      <c r="C33" s="309" t="s">
        <v>542</v>
      </c>
      <c r="D33" s="309"/>
      <c r="E33" s="309"/>
      <c r="F33" s="309"/>
      <c r="G33" s="315">
        <v>0</v>
      </c>
      <c r="H33" s="315">
        <f>'Foreign Income'!E19</f>
        <v>0</v>
      </c>
      <c r="I33" s="314"/>
      <c r="J33" s="312"/>
      <c r="K33" s="313"/>
    </row>
    <row r="34" spans="2:16" ht="15" customHeight="1" x14ac:dyDescent="0.2">
      <c r="B34" s="308">
        <v>20</v>
      </c>
      <c r="C34" s="309" t="s">
        <v>543</v>
      </c>
      <c r="D34" s="309"/>
      <c r="E34" s="309"/>
      <c r="F34" s="309"/>
      <c r="G34" s="315"/>
      <c r="H34" s="315"/>
      <c r="I34" s="314"/>
      <c r="J34" s="312"/>
      <c r="K34" s="313"/>
    </row>
    <row r="35" spans="2:16" ht="15" customHeight="1" x14ac:dyDescent="0.2">
      <c r="B35" s="308"/>
      <c r="C35" s="309"/>
      <c r="D35" s="309"/>
      <c r="E35" s="309"/>
      <c r="F35" s="309"/>
      <c r="G35" s="315"/>
      <c r="H35" s="315"/>
      <c r="I35" s="314"/>
      <c r="J35" s="312"/>
      <c r="K35" s="313"/>
    </row>
    <row r="36" spans="2:16" ht="15" customHeight="1" x14ac:dyDescent="0.2">
      <c r="B36" s="308">
        <v>21</v>
      </c>
      <c r="C36" s="309" t="s">
        <v>30</v>
      </c>
      <c r="D36" s="309"/>
      <c r="E36" s="309"/>
      <c r="F36" s="309"/>
      <c r="G36" s="315"/>
      <c r="H36" s="315">
        <v>0</v>
      </c>
      <c r="I36" s="314"/>
      <c r="J36" s="312"/>
      <c r="K36" s="313"/>
    </row>
    <row r="37" spans="2:16" ht="15" customHeight="1" x14ac:dyDescent="0.2">
      <c r="B37" s="308">
        <v>21</v>
      </c>
      <c r="C37" s="309" t="s">
        <v>30</v>
      </c>
      <c r="D37" s="309"/>
      <c r="E37" s="309"/>
      <c r="F37" s="309"/>
      <c r="G37" s="315"/>
      <c r="H37" s="315"/>
      <c r="I37" s="314"/>
      <c r="J37" s="312"/>
      <c r="K37" s="313"/>
    </row>
    <row r="38" spans="2:16" ht="15" customHeight="1" x14ac:dyDescent="0.2">
      <c r="B38" s="308"/>
      <c r="C38" s="309"/>
      <c r="D38" s="309"/>
      <c r="E38" s="309"/>
      <c r="F38" s="309"/>
      <c r="G38" s="315"/>
      <c r="H38" s="315"/>
      <c r="I38" s="314"/>
      <c r="J38" s="312"/>
      <c r="K38" s="313"/>
    </row>
    <row r="39" spans="2:16" ht="15" customHeight="1" x14ac:dyDescent="0.2">
      <c r="B39" s="308">
        <v>24</v>
      </c>
      <c r="C39" s="309" t="s">
        <v>31</v>
      </c>
      <c r="D39" s="309"/>
      <c r="E39" s="309"/>
      <c r="F39" s="309"/>
      <c r="G39" s="315"/>
      <c r="H39" s="315"/>
      <c r="I39" s="314"/>
      <c r="J39" s="312" t="s">
        <v>549</v>
      </c>
      <c r="K39" s="313"/>
      <c r="P39" s="319"/>
    </row>
    <row r="40" spans="2:16" ht="15" customHeight="1" x14ac:dyDescent="0.2">
      <c r="B40" s="308"/>
      <c r="C40" s="309" t="s">
        <v>32</v>
      </c>
      <c r="D40" s="309"/>
      <c r="E40" s="309"/>
      <c r="F40" s="309"/>
      <c r="G40" s="315"/>
      <c r="H40" s="315"/>
      <c r="I40" s="314"/>
      <c r="J40" s="312"/>
      <c r="K40" s="313"/>
      <c r="P40" s="319"/>
    </row>
    <row r="41" spans="2:16" s="292" customFormat="1" ht="15" customHeight="1" thickBot="1" x14ac:dyDescent="0.25">
      <c r="B41" s="320"/>
      <c r="C41" s="321" t="s">
        <v>33</v>
      </c>
      <c r="D41" s="322"/>
      <c r="E41" s="322"/>
      <c r="F41" s="322"/>
      <c r="G41" s="323"/>
      <c r="H41" s="324">
        <f>ROUND((SUM(H12:H40)+G17),0)+G18</f>
        <v>0</v>
      </c>
      <c r="I41" s="325"/>
      <c r="J41" s="326"/>
      <c r="K41" s="327"/>
    </row>
    <row r="42" spans="2:16" s="292" customFormat="1" ht="15" customHeight="1" thickTop="1" x14ac:dyDescent="0.2">
      <c r="B42" s="320"/>
      <c r="C42" s="322"/>
      <c r="D42" s="322"/>
      <c r="E42" s="322"/>
      <c r="F42" s="322"/>
      <c r="G42" s="323"/>
      <c r="H42" s="323"/>
      <c r="I42" s="148"/>
      <c r="J42" s="326"/>
      <c r="K42" s="327"/>
    </row>
    <row r="43" spans="2:16" s="292" customFormat="1" ht="15" customHeight="1" x14ac:dyDescent="0.2">
      <c r="B43" s="320"/>
      <c r="C43" s="321" t="s">
        <v>34</v>
      </c>
      <c r="D43" s="322"/>
      <c r="E43" s="322"/>
      <c r="F43" s="322"/>
      <c r="G43" s="323"/>
      <c r="H43" s="323"/>
      <c r="I43" s="148"/>
      <c r="J43" s="326"/>
      <c r="K43" s="327"/>
    </row>
    <row r="44" spans="2:16" ht="15" customHeight="1" x14ac:dyDescent="0.2">
      <c r="B44" s="304" t="s">
        <v>35</v>
      </c>
      <c r="C44" s="328" t="s">
        <v>36</v>
      </c>
      <c r="D44" s="309"/>
      <c r="E44" s="309"/>
      <c r="F44" s="309"/>
      <c r="G44" s="329"/>
      <c r="H44" s="315">
        <f>'Deductions - 2 Client name '!D21</f>
        <v>0</v>
      </c>
      <c r="I44" s="223"/>
      <c r="J44" s="312"/>
      <c r="K44" s="313"/>
    </row>
    <row r="45" spans="2:16" ht="15" customHeight="1" x14ac:dyDescent="0.2">
      <c r="B45" s="308" t="s">
        <v>37</v>
      </c>
      <c r="C45" s="328" t="s">
        <v>38</v>
      </c>
      <c r="D45" s="309"/>
      <c r="E45" s="309"/>
      <c r="F45" s="309"/>
      <c r="G45" s="329"/>
      <c r="H45" s="315">
        <f>'Deductions - 2 Client name '!D28</f>
        <v>0</v>
      </c>
      <c r="I45" s="330"/>
      <c r="J45" s="312"/>
      <c r="K45" s="313"/>
    </row>
    <row r="46" spans="2:16" ht="15" customHeight="1" x14ac:dyDescent="0.2">
      <c r="B46" s="308" t="s">
        <v>39</v>
      </c>
      <c r="C46" s="309" t="s">
        <v>40</v>
      </c>
      <c r="D46" s="309"/>
      <c r="E46" s="309"/>
      <c r="F46" s="309"/>
      <c r="G46" s="329"/>
      <c r="H46" s="315">
        <f>'Deductions - 2 Client name '!D33</f>
        <v>0</v>
      </c>
      <c r="I46" s="314"/>
      <c r="J46" s="312"/>
      <c r="K46" s="313"/>
    </row>
    <row r="47" spans="2:16" ht="15" customHeight="1" x14ac:dyDescent="0.2">
      <c r="B47" s="308" t="s">
        <v>41</v>
      </c>
      <c r="C47" s="309" t="s">
        <v>42</v>
      </c>
      <c r="D47" s="309"/>
      <c r="E47" s="309"/>
      <c r="F47" s="309"/>
      <c r="G47" s="329"/>
      <c r="H47" s="315">
        <f>'Deductions - 2 Client name '!D38</f>
        <v>0</v>
      </c>
      <c r="I47" s="330"/>
      <c r="J47" s="312"/>
      <c r="K47" s="313"/>
    </row>
    <row r="48" spans="2:16" ht="15" customHeight="1" x14ac:dyDescent="0.2">
      <c r="B48" s="308" t="s">
        <v>43</v>
      </c>
      <c r="C48" s="309" t="s">
        <v>44</v>
      </c>
      <c r="D48" s="309"/>
      <c r="E48" s="309"/>
      <c r="F48" s="309"/>
      <c r="G48" s="329"/>
      <c r="H48" s="315">
        <f>'Deductions - 2 Client name '!D49</f>
        <v>0</v>
      </c>
      <c r="I48" s="330"/>
      <c r="J48" s="312"/>
      <c r="K48" s="313"/>
    </row>
    <row r="49" spans="2:21" ht="15" customHeight="1" x14ac:dyDescent="0.2">
      <c r="B49" s="308" t="s">
        <v>45</v>
      </c>
      <c r="C49" s="309" t="s">
        <v>46</v>
      </c>
      <c r="D49" s="309"/>
      <c r="E49" s="309"/>
      <c r="F49" s="309"/>
      <c r="G49" s="329"/>
      <c r="H49" s="315">
        <f>'Deductions - 2 Client name '!D54</f>
        <v>0</v>
      </c>
      <c r="I49" s="314"/>
      <c r="J49" s="428"/>
      <c r="K49" s="313"/>
    </row>
    <row r="50" spans="2:21" ht="15" customHeight="1" x14ac:dyDescent="0.2">
      <c r="B50" s="308" t="s">
        <v>47</v>
      </c>
      <c r="C50" s="309" t="s">
        <v>48</v>
      </c>
      <c r="D50" s="309"/>
      <c r="E50" s="309"/>
      <c r="F50" s="309"/>
      <c r="G50" s="329"/>
      <c r="H50" s="315">
        <f>'Deductions - 2 Client name '!D59</f>
        <v>0</v>
      </c>
      <c r="I50" s="314"/>
      <c r="J50" s="428"/>
      <c r="K50" s="313"/>
    </row>
    <row r="51" spans="2:21" ht="15" customHeight="1" x14ac:dyDescent="0.2">
      <c r="B51" s="308" t="s">
        <v>49</v>
      </c>
      <c r="C51" s="309" t="s">
        <v>50</v>
      </c>
      <c r="D51" s="309"/>
      <c r="E51" s="309"/>
      <c r="F51" s="309"/>
      <c r="G51" s="329"/>
      <c r="H51" s="315">
        <f>'Deductions - 2 Client name '!D64</f>
        <v>0</v>
      </c>
      <c r="I51" s="314"/>
      <c r="J51" s="428"/>
      <c r="K51" s="313"/>
    </row>
    <row r="52" spans="2:21" ht="15" customHeight="1" x14ac:dyDescent="0.2">
      <c r="B52" s="308" t="s">
        <v>51</v>
      </c>
      <c r="C52" s="309" t="s">
        <v>52</v>
      </c>
      <c r="D52" s="309"/>
      <c r="E52" s="309"/>
      <c r="F52" s="309"/>
      <c r="G52" s="329"/>
      <c r="H52" s="315">
        <f>'Deductions - 2 Client name '!D69</f>
        <v>0</v>
      </c>
      <c r="I52" s="314"/>
      <c r="J52" s="428"/>
      <c r="K52" s="313"/>
      <c r="P52" s="319"/>
      <c r="U52" s="319"/>
    </row>
    <row r="53" spans="2:21" ht="15" customHeight="1" x14ac:dyDescent="0.2">
      <c r="B53" s="308" t="s">
        <v>53</v>
      </c>
      <c r="C53" s="309" t="s">
        <v>54</v>
      </c>
      <c r="D53" s="309"/>
      <c r="E53" s="309"/>
      <c r="F53" s="309"/>
      <c r="G53" s="329"/>
      <c r="H53" s="315">
        <f>'Deductions - 2 Client name '!D74</f>
        <v>0</v>
      </c>
      <c r="I53" s="314"/>
      <c r="J53" s="428"/>
      <c r="K53" s="313"/>
      <c r="L53" s="301"/>
      <c r="U53" s="319"/>
    </row>
    <row r="54" spans="2:21" ht="15" customHeight="1" x14ac:dyDescent="0.2">
      <c r="B54" s="308" t="s">
        <v>55</v>
      </c>
      <c r="C54" s="309" t="s">
        <v>56</v>
      </c>
      <c r="D54" s="309"/>
      <c r="E54" s="309"/>
      <c r="F54" s="309"/>
      <c r="G54" s="329"/>
      <c r="H54" s="315">
        <f>'Deductions - 2 Client name '!D78</f>
        <v>0</v>
      </c>
      <c r="I54" s="314"/>
      <c r="J54" s="428"/>
      <c r="K54" s="313"/>
      <c r="L54" s="301"/>
      <c r="U54" s="319"/>
    </row>
    <row r="55" spans="2:21" ht="15" customHeight="1" x14ac:dyDescent="0.2">
      <c r="B55" s="308" t="s">
        <v>57</v>
      </c>
      <c r="C55" s="309" t="s">
        <v>58</v>
      </c>
      <c r="D55" s="309"/>
      <c r="E55" s="309"/>
      <c r="F55" s="309"/>
      <c r="G55" s="329"/>
      <c r="H55" s="315">
        <f>'Deductions - 2 Client name '!D81</f>
        <v>0</v>
      </c>
      <c r="I55" s="314"/>
      <c r="J55" s="428"/>
      <c r="K55" s="313"/>
      <c r="L55" s="301"/>
      <c r="U55" s="319"/>
    </row>
    <row r="56" spans="2:21" ht="15" customHeight="1" x14ac:dyDescent="0.2">
      <c r="B56" s="308" t="s">
        <v>59</v>
      </c>
      <c r="C56" s="309" t="s">
        <v>60</v>
      </c>
      <c r="D56" s="309"/>
      <c r="E56" s="309"/>
      <c r="F56" s="309"/>
      <c r="G56" s="329"/>
      <c r="H56" s="315">
        <f>'Deductions - 2 Client name '!D84</f>
        <v>0</v>
      </c>
      <c r="I56" s="314"/>
      <c r="J56" s="312"/>
      <c r="K56" s="313"/>
      <c r="L56" s="301"/>
      <c r="U56" s="319"/>
    </row>
    <row r="57" spans="2:21" ht="15" customHeight="1" x14ac:dyDescent="0.2">
      <c r="B57" s="308" t="s">
        <v>61</v>
      </c>
      <c r="C57" s="309" t="s">
        <v>62</v>
      </c>
      <c r="D57" s="309"/>
      <c r="E57" s="309"/>
      <c r="F57" s="309"/>
      <c r="G57" s="329"/>
      <c r="H57" s="315">
        <f>'Deductions - 2 Client name '!D87</f>
        <v>0</v>
      </c>
      <c r="I57" s="314"/>
      <c r="J57" s="312"/>
      <c r="K57" s="313"/>
      <c r="L57" s="301"/>
      <c r="U57" s="319"/>
    </row>
    <row r="58" spans="2:21" ht="15" customHeight="1" x14ac:dyDescent="0.2">
      <c r="B58" s="308" t="s">
        <v>63</v>
      </c>
      <c r="C58" s="309" t="s">
        <v>64</v>
      </c>
      <c r="D58" s="309"/>
      <c r="E58" s="309"/>
      <c r="F58" s="309"/>
      <c r="G58" s="323"/>
      <c r="H58" s="315">
        <f>'Deductions - 2 Client name '!D92</f>
        <v>0</v>
      </c>
      <c r="I58" s="314"/>
      <c r="J58" s="312"/>
      <c r="K58" s="313"/>
      <c r="L58" s="301"/>
      <c r="U58" s="319"/>
    </row>
    <row r="59" spans="2:21" ht="15" customHeight="1" x14ac:dyDescent="0.2">
      <c r="B59" s="308"/>
      <c r="C59" s="309" t="s">
        <v>32</v>
      </c>
      <c r="D59" s="309"/>
      <c r="E59" s="309"/>
      <c r="F59" s="309"/>
      <c r="G59" s="323"/>
      <c r="H59" s="315"/>
      <c r="I59" s="314"/>
      <c r="J59" s="312"/>
      <c r="K59" s="313"/>
      <c r="L59" s="301"/>
      <c r="U59" s="319"/>
    </row>
    <row r="60" spans="2:21" s="292" customFormat="1" ht="15" customHeight="1" thickBot="1" x14ac:dyDescent="0.25">
      <c r="B60" s="320"/>
      <c r="C60" s="321" t="s">
        <v>65</v>
      </c>
      <c r="D60" s="322"/>
      <c r="E60" s="322"/>
      <c r="F60" s="322"/>
      <c r="G60" s="331"/>
      <c r="H60" s="324">
        <f>SUM(H44:H59)</f>
        <v>0</v>
      </c>
      <c r="I60" s="332"/>
      <c r="J60" s="333">
        <f>'Deductions - 2 Client name '!C88</f>
        <v>0</v>
      </c>
      <c r="K60" s="327"/>
    </row>
    <row r="61" spans="2:21" ht="15" customHeight="1" thickTop="1" x14ac:dyDescent="0.2">
      <c r="B61" s="320"/>
      <c r="C61" s="309"/>
      <c r="D61" s="309"/>
      <c r="E61" s="309"/>
      <c r="F61" s="309"/>
      <c r="G61" s="329"/>
      <c r="H61" s="361" t="e">
        <f>H60/H62</f>
        <v>#DIV/0!</v>
      </c>
      <c r="I61" s="334"/>
      <c r="J61" s="312"/>
      <c r="K61" s="313"/>
    </row>
    <row r="62" spans="2:21" ht="15" customHeight="1" thickBot="1" x14ac:dyDescent="0.25">
      <c r="B62" s="320"/>
      <c r="C62" s="335" t="s">
        <v>66</v>
      </c>
      <c r="D62" s="309"/>
      <c r="E62" s="309"/>
      <c r="F62" s="309"/>
      <c r="G62" s="329"/>
      <c r="H62" s="336">
        <f>ROUND(H41-H60,0)</f>
        <v>0</v>
      </c>
      <c r="I62" s="150"/>
      <c r="J62" s="312"/>
      <c r="K62" s="313"/>
    </row>
    <row r="63" spans="2:21" ht="15" customHeight="1" thickTop="1" x14ac:dyDescent="0.2">
      <c r="B63" s="320"/>
      <c r="C63" s="309"/>
      <c r="D63" s="309"/>
      <c r="E63" s="309"/>
      <c r="F63" s="309"/>
      <c r="G63" s="329"/>
      <c r="H63" s="329"/>
      <c r="I63" s="334"/>
      <c r="J63" s="312"/>
      <c r="K63" s="313"/>
    </row>
    <row r="64" spans="2:21" s="292" customFormat="1" ht="15" customHeight="1" x14ac:dyDescent="0.2">
      <c r="B64" s="320"/>
      <c r="C64" s="321" t="s">
        <v>67</v>
      </c>
      <c r="D64" s="322"/>
      <c r="E64" s="322"/>
      <c r="F64" s="322"/>
      <c r="G64" s="323"/>
      <c r="H64" s="323"/>
      <c r="I64" s="148"/>
      <c r="J64" s="326"/>
      <c r="K64" s="327"/>
    </row>
    <row r="65" spans="2:11" ht="15" customHeight="1" x14ac:dyDescent="0.2">
      <c r="B65" s="320"/>
      <c r="C65" s="309" t="s">
        <v>67</v>
      </c>
      <c r="D65" s="309"/>
      <c r="E65" s="309"/>
      <c r="F65" s="309"/>
      <c r="G65" s="329"/>
      <c r="H65" s="337" cm="1">
        <f t="array" ref="H65">SUMPRODUCT(--(H62&gt;{18200;45000;135000;190000}), (H62-{18200;45000;135000;190000}), {0.16;0.14;0.07;0.08})</f>
        <v>0</v>
      </c>
      <c r="I65" s="149"/>
      <c r="J65" s="312"/>
      <c r="K65" s="313"/>
    </row>
    <row r="66" spans="2:11" ht="15" customHeight="1" x14ac:dyDescent="0.2">
      <c r="B66" s="320"/>
      <c r="C66" s="309" t="s">
        <v>68</v>
      </c>
      <c r="D66" s="309"/>
      <c r="E66" s="309"/>
      <c r="F66" s="309"/>
      <c r="G66" s="329"/>
      <c r="H66" s="329">
        <f>H62*0.02</f>
        <v>0</v>
      </c>
      <c r="I66" s="334"/>
      <c r="J66" s="312"/>
      <c r="K66" s="313"/>
    </row>
    <row r="67" spans="2:11" ht="15" customHeight="1" x14ac:dyDescent="0.2">
      <c r="B67" s="320"/>
      <c r="C67" s="309" t="s">
        <v>69</v>
      </c>
      <c r="D67" s="309"/>
      <c r="E67" s="309"/>
      <c r="F67" s="309"/>
      <c r="G67" s="329"/>
      <c r="H67" s="329">
        <v>0</v>
      </c>
      <c r="I67" s="334"/>
      <c r="J67" s="312"/>
      <c r="K67" s="313"/>
    </row>
    <row r="68" spans="2:11" ht="15" customHeight="1" x14ac:dyDescent="0.2">
      <c r="B68" s="320"/>
      <c r="C68" s="309" t="s">
        <v>70</v>
      </c>
      <c r="D68" s="309"/>
      <c r="E68" s="309"/>
      <c r="F68" s="309"/>
      <c r="G68" s="329"/>
      <c r="H68" s="338"/>
      <c r="I68" s="334"/>
      <c r="J68" s="312"/>
      <c r="K68" s="313"/>
    </row>
    <row r="69" spans="2:11" ht="15" customHeight="1" x14ac:dyDescent="0.2">
      <c r="B69" s="320"/>
      <c r="C69" s="309" t="s">
        <v>71</v>
      </c>
      <c r="D69" s="309"/>
      <c r="E69" s="309"/>
      <c r="F69" s="309"/>
      <c r="G69" s="329"/>
      <c r="H69" s="339">
        <f>SUM(H65:H68)</f>
        <v>0</v>
      </c>
      <c r="I69" s="150"/>
      <c r="J69" s="312"/>
      <c r="K69" s="313"/>
    </row>
    <row r="70" spans="2:11" ht="15" customHeight="1" x14ac:dyDescent="0.2">
      <c r="B70" s="320"/>
      <c r="C70" s="309"/>
      <c r="D70" s="309"/>
      <c r="E70" s="309"/>
      <c r="F70" s="309"/>
      <c r="G70" s="329"/>
      <c r="H70" s="329"/>
      <c r="I70" s="334"/>
      <c r="J70" s="312"/>
      <c r="K70" s="313"/>
    </row>
    <row r="71" spans="2:11" ht="15" customHeight="1" x14ac:dyDescent="0.2">
      <c r="B71" s="320"/>
      <c r="C71" s="309" t="s">
        <v>391</v>
      </c>
      <c r="D71" s="309"/>
      <c r="E71" s="309"/>
      <c r="F71" s="309"/>
      <c r="G71" s="329"/>
      <c r="H71" s="329"/>
      <c r="I71" s="334"/>
      <c r="J71" s="312"/>
      <c r="K71" s="313"/>
    </row>
    <row r="72" spans="2:11" ht="15" customHeight="1" x14ac:dyDescent="0.2">
      <c r="B72" s="320"/>
      <c r="C72" s="309" t="s">
        <v>72</v>
      </c>
      <c r="D72" s="309"/>
      <c r="E72" s="309"/>
      <c r="F72" s="309"/>
      <c r="G72" s="329"/>
      <c r="H72" s="310">
        <f>G12+G13</f>
        <v>0</v>
      </c>
      <c r="I72" s="334"/>
      <c r="J72" s="312"/>
      <c r="K72" s="313"/>
    </row>
    <row r="73" spans="2:11" ht="15" customHeight="1" x14ac:dyDescent="0.2">
      <c r="B73" s="320"/>
      <c r="C73" s="309" t="s">
        <v>73</v>
      </c>
      <c r="D73" s="309"/>
      <c r="E73" s="309"/>
      <c r="F73" s="309"/>
      <c r="G73" s="329"/>
      <c r="H73" s="315">
        <f>G16</f>
        <v>0</v>
      </c>
      <c r="I73" s="334"/>
      <c r="J73" s="312"/>
      <c r="K73" s="313"/>
    </row>
    <row r="74" spans="2:11" ht="15" customHeight="1" x14ac:dyDescent="0.2">
      <c r="B74" s="320"/>
      <c r="C74" s="309" t="s">
        <v>74</v>
      </c>
      <c r="D74" s="309"/>
      <c r="E74" s="309"/>
      <c r="F74" s="309"/>
      <c r="G74" s="329"/>
      <c r="H74" s="315">
        <v>0</v>
      </c>
      <c r="I74" s="334"/>
      <c r="J74" s="312"/>
      <c r="K74" s="313"/>
    </row>
    <row r="75" spans="2:11" ht="15" customHeight="1" x14ac:dyDescent="0.2">
      <c r="B75" s="320"/>
      <c r="C75" s="309" t="s">
        <v>75</v>
      </c>
      <c r="D75" s="309"/>
      <c r="E75" s="309"/>
      <c r="F75" s="309"/>
      <c r="G75" s="329"/>
      <c r="H75" s="315">
        <f>G17+G18+G21+G22+G23+G24</f>
        <v>0</v>
      </c>
      <c r="I75" s="334"/>
      <c r="J75" s="312"/>
      <c r="K75" s="313"/>
    </row>
    <row r="76" spans="2:11" ht="15" customHeight="1" x14ac:dyDescent="0.2">
      <c r="B76" s="320"/>
      <c r="C76" s="309" t="s">
        <v>76</v>
      </c>
      <c r="D76" s="309"/>
      <c r="E76" s="309"/>
      <c r="F76" s="309"/>
      <c r="G76" s="329"/>
      <c r="H76" s="315">
        <f>G33+G34</f>
        <v>0</v>
      </c>
      <c r="I76" s="334"/>
      <c r="J76" s="312"/>
      <c r="K76" s="313"/>
    </row>
    <row r="77" spans="2:11" ht="15" customHeight="1" x14ac:dyDescent="0.2">
      <c r="B77" s="320"/>
      <c r="C77" s="309" t="s">
        <v>77</v>
      </c>
      <c r="D77" s="309"/>
      <c r="E77" s="309"/>
      <c r="F77" s="309"/>
      <c r="G77" s="329"/>
      <c r="H77" s="315">
        <v>0</v>
      </c>
      <c r="I77" s="334"/>
      <c r="J77" s="312"/>
      <c r="K77" s="313"/>
    </row>
    <row r="78" spans="2:11" ht="15" customHeight="1" x14ac:dyDescent="0.2">
      <c r="B78" s="320"/>
      <c r="C78" s="309" t="s">
        <v>78</v>
      </c>
      <c r="D78" s="309"/>
      <c r="E78" s="309"/>
      <c r="F78" s="309"/>
      <c r="G78" s="329"/>
      <c r="H78" s="315">
        <v>0</v>
      </c>
      <c r="I78" s="334"/>
      <c r="J78" s="312"/>
      <c r="K78" s="313"/>
    </row>
    <row r="79" spans="2:11" ht="15" customHeight="1" x14ac:dyDescent="0.2">
      <c r="B79" s="320"/>
      <c r="C79" s="309" t="s">
        <v>79</v>
      </c>
      <c r="D79" s="309"/>
      <c r="E79" s="309"/>
      <c r="F79" s="309"/>
      <c r="G79" s="329"/>
      <c r="H79" s="315">
        <v>0</v>
      </c>
      <c r="I79" s="334"/>
      <c r="J79" s="312"/>
      <c r="K79" s="313"/>
    </row>
    <row r="80" spans="2:11" ht="15" customHeight="1" x14ac:dyDescent="0.2">
      <c r="B80" s="320"/>
      <c r="C80" s="309" t="s">
        <v>80</v>
      </c>
      <c r="D80" s="309"/>
      <c r="E80" s="309"/>
      <c r="F80" s="309"/>
      <c r="G80" s="329"/>
      <c r="H80" s="340">
        <f>SUM(H72:H79)</f>
        <v>0</v>
      </c>
      <c r="I80" s="334"/>
      <c r="J80" s="312"/>
      <c r="K80" s="313"/>
    </row>
    <row r="81" spans="2:11" ht="15" customHeight="1" x14ac:dyDescent="0.2">
      <c r="B81" s="320"/>
      <c r="C81" s="309"/>
      <c r="D81" s="309"/>
      <c r="E81" s="309"/>
      <c r="F81" s="309"/>
      <c r="G81" s="329"/>
      <c r="H81" s="329"/>
      <c r="I81" s="334"/>
      <c r="J81" s="312"/>
      <c r="K81" s="313"/>
    </row>
    <row r="82" spans="2:11" ht="15" customHeight="1" thickBot="1" x14ac:dyDescent="0.25">
      <c r="B82" s="320"/>
      <c r="C82" s="335" t="s">
        <v>81</v>
      </c>
      <c r="D82" s="309"/>
      <c r="E82" s="309"/>
      <c r="F82" s="309"/>
      <c r="G82" s="329"/>
      <c r="H82" s="341">
        <f>H69-H80</f>
        <v>0</v>
      </c>
      <c r="I82" s="150"/>
      <c r="J82" s="312"/>
      <c r="K82" s="313"/>
    </row>
    <row r="83" spans="2:11" ht="15" customHeight="1" thickTop="1" x14ac:dyDescent="0.2">
      <c r="B83" s="320"/>
      <c r="C83" s="309" t="s">
        <v>82</v>
      </c>
      <c r="D83" s="309"/>
      <c r="E83" s="309"/>
      <c r="F83" s="309"/>
      <c r="G83" s="342"/>
      <c r="H83" s="342"/>
      <c r="I83" s="334"/>
      <c r="J83" s="312"/>
      <c r="K83" s="313"/>
    </row>
    <row r="84" spans="2:11" ht="15" customHeight="1" x14ac:dyDescent="0.2">
      <c r="B84" s="320"/>
      <c r="C84" s="343" t="s">
        <v>83</v>
      </c>
      <c r="D84" s="309"/>
      <c r="E84" s="309"/>
      <c r="F84" s="309"/>
      <c r="G84" s="342"/>
      <c r="H84" s="344">
        <f>H82-H83</f>
        <v>0</v>
      </c>
      <c r="I84" s="345" t="str">
        <f>IF(ABS(H84) &gt; 0.99, "Please ensure variance is nil", "")</f>
        <v/>
      </c>
      <c r="J84" s="312"/>
      <c r="K84" s="313"/>
    </row>
    <row r="85" spans="2:11" ht="15" customHeight="1" x14ac:dyDescent="0.2">
      <c r="B85" s="320"/>
      <c r="C85" s="309"/>
      <c r="D85" s="309"/>
      <c r="E85" s="309"/>
      <c r="F85" s="309"/>
      <c r="G85" s="342"/>
      <c r="H85" s="342"/>
      <c r="I85" s="334"/>
      <c r="J85" s="312"/>
      <c r="K85" s="346"/>
    </row>
    <row r="86" spans="2:11" s="292" customFormat="1" ht="15" customHeight="1" x14ac:dyDescent="0.2">
      <c r="B86" s="320"/>
      <c r="C86" s="321" t="s">
        <v>84</v>
      </c>
      <c r="D86" s="322"/>
      <c r="E86" s="322"/>
      <c r="F86" s="322"/>
      <c r="G86" s="347"/>
      <c r="H86" s="347"/>
      <c r="I86" s="148"/>
      <c r="J86" s="326"/>
      <c r="K86" s="348"/>
    </row>
    <row r="87" spans="2:11" ht="15" customHeight="1" x14ac:dyDescent="0.2">
      <c r="B87" s="320"/>
      <c r="C87" s="309" t="s">
        <v>85</v>
      </c>
      <c r="D87" s="309"/>
      <c r="E87" s="309"/>
      <c r="F87" s="309"/>
      <c r="G87" s="309"/>
      <c r="H87" s="349">
        <v>0</v>
      </c>
      <c r="I87" s="334"/>
      <c r="J87" s="312"/>
      <c r="K87" s="346"/>
    </row>
    <row r="88" spans="2:11" ht="15" customHeight="1" x14ac:dyDescent="0.2">
      <c r="B88" s="320"/>
      <c r="C88" s="309" t="s">
        <v>86</v>
      </c>
      <c r="D88" s="309"/>
      <c r="E88" s="309"/>
      <c r="F88" s="309"/>
      <c r="G88" s="309"/>
      <c r="H88" s="349">
        <v>0</v>
      </c>
      <c r="I88" s="334"/>
      <c r="J88" s="312"/>
      <c r="K88" s="346"/>
    </row>
    <row r="89" spans="2:11" ht="15" customHeight="1" x14ac:dyDescent="0.2">
      <c r="B89" s="320"/>
      <c r="C89" s="350"/>
      <c r="D89" s="309"/>
      <c r="E89" s="309"/>
      <c r="F89" s="309"/>
      <c r="G89" s="309"/>
      <c r="H89" s="351"/>
      <c r="I89" s="352"/>
      <c r="J89" s="312"/>
      <c r="K89" s="346"/>
    </row>
    <row r="90" spans="2:11" ht="15" customHeight="1" x14ac:dyDescent="0.2">
      <c r="B90" s="308" t="s">
        <v>87</v>
      </c>
      <c r="C90" s="309" t="s">
        <v>88</v>
      </c>
      <c r="D90" s="309"/>
      <c r="E90" s="309"/>
      <c r="F90" s="309"/>
      <c r="G90" s="309"/>
      <c r="H90" s="351"/>
      <c r="I90" s="352"/>
      <c r="J90" s="312"/>
      <c r="K90" s="313"/>
    </row>
    <row r="91" spans="2:11" ht="15" customHeight="1" x14ac:dyDescent="0.2">
      <c r="B91" s="308"/>
      <c r="C91" s="309"/>
      <c r="D91" s="309"/>
      <c r="E91" s="309"/>
      <c r="F91" s="309"/>
      <c r="G91" s="353">
        <v>31</v>
      </c>
      <c r="H91" s="353">
        <v>30</v>
      </c>
      <c r="I91" s="354"/>
      <c r="J91" s="312"/>
      <c r="K91" s="346"/>
    </row>
    <row r="92" spans="2:11" ht="15" customHeight="1" x14ac:dyDescent="0.2">
      <c r="B92" s="308" t="s">
        <v>89</v>
      </c>
      <c r="C92" s="309" t="s">
        <v>90</v>
      </c>
      <c r="D92" s="309"/>
      <c r="E92" s="309"/>
      <c r="F92" s="309"/>
      <c r="G92" s="349"/>
      <c r="H92" s="349"/>
      <c r="I92" s="334"/>
      <c r="K92" s="346"/>
    </row>
    <row r="93" spans="2:11" ht="15" customHeight="1" x14ac:dyDescent="0.2">
      <c r="B93" s="308"/>
      <c r="C93" s="309" t="s">
        <v>91</v>
      </c>
      <c r="D93" s="309"/>
      <c r="E93" s="309"/>
      <c r="F93" s="309"/>
      <c r="G93" s="349"/>
      <c r="H93" s="349"/>
      <c r="I93" s="334"/>
      <c r="K93" s="346"/>
    </row>
    <row r="94" spans="2:11" ht="15" customHeight="1" x14ac:dyDescent="0.2">
      <c r="B94" s="308"/>
      <c r="C94" s="309"/>
      <c r="D94" s="309"/>
      <c r="E94" s="309"/>
      <c r="F94" s="309"/>
      <c r="G94" s="349"/>
      <c r="H94" s="349"/>
      <c r="I94" s="334"/>
      <c r="K94" s="346"/>
    </row>
    <row r="95" spans="2:11" ht="15" customHeight="1" x14ac:dyDescent="0.2">
      <c r="B95" s="308" t="s">
        <v>92</v>
      </c>
      <c r="C95" s="309" t="s">
        <v>93</v>
      </c>
      <c r="D95" s="309"/>
      <c r="E95" s="309"/>
      <c r="F95" s="309"/>
      <c r="G95" s="461">
        <v>0</v>
      </c>
      <c r="H95" s="349"/>
      <c r="I95" s="334"/>
      <c r="K95" s="346"/>
    </row>
    <row r="96" spans="2:11" ht="15" customHeight="1" x14ac:dyDescent="0.2">
      <c r="B96" s="308" t="s">
        <v>94</v>
      </c>
      <c r="C96" s="309" t="s">
        <v>95</v>
      </c>
      <c r="D96" s="309"/>
      <c r="E96" s="309"/>
      <c r="F96" s="309"/>
      <c r="G96" s="461">
        <v>0</v>
      </c>
      <c r="H96" s="351"/>
      <c r="I96" s="352"/>
      <c r="K96" s="346"/>
    </row>
    <row r="97" spans="2:11" ht="15" customHeight="1" x14ac:dyDescent="0.2">
      <c r="B97" s="308" t="s">
        <v>87</v>
      </c>
      <c r="C97" s="309" t="s">
        <v>96</v>
      </c>
      <c r="D97" s="309"/>
      <c r="E97" s="309"/>
      <c r="F97" s="355" t="s">
        <v>97</v>
      </c>
      <c r="G97" s="356"/>
      <c r="H97" s="351"/>
      <c r="I97" s="352"/>
      <c r="K97" s="346"/>
    </row>
    <row r="98" spans="2:11" ht="15" customHeight="1" x14ac:dyDescent="0.2">
      <c r="B98" s="308"/>
      <c r="C98" s="309"/>
      <c r="D98" s="309"/>
      <c r="E98" s="309"/>
      <c r="F98" s="309"/>
      <c r="G98" s="309"/>
      <c r="H98" s="351"/>
      <c r="I98" s="352"/>
      <c r="K98" s="346"/>
    </row>
    <row r="99" spans="2:11" ht="15" customHeight="1" x14ac:dyDescent="0.2">
      <c r="B99" s="308"/>
      <c r="C99" s="309"/>
      <c r="D99" s="309"/>
      <c r="E99" s="309"/>
      <c r="F99" s="309"/>
      <c r="G99" s="309"/>
      <c r="H99" s="309"/>
      <c r="K99" s="346"/>
    </row>
    <row r="100" spans="2:11" ht="15" customHeight="1" x14ac:dyDescent="0.2">
      <c r="B100" s="304"/>
      <c r="C100" s="309"/>
      <c r="D100" s="309"/>
      <c r="E100" s="309"/>
      <c r="F100" s="309"/>
      <c r="G100" s="309"/>
      <c r="H100" s="342"/>
      <c r="I100" s="334"/>
      <c r="K100" s="346"/>
    </row>
    <row r="101" spans="2:11" ht="15" customHeight="1" x14ac:dyDescent="0.2">
      <c r="B101" s="320" t="s">
        <v>98</v>
      </c>
      <c r="C101" s="309"/>
      <c r="D101" s="355" t="s">
        <v>97</v>
      </c>
      <c r="E101" s="309"/>
      <c r="F101" s="309"/>
      <c r="G101" s="309"/>
      <c r="H101" s="351"/>
      <c r="I101" s="352"/>
      <c r="K101" s="346"/>
    </row>
    <row r="102" spans="2:11" ht="15" customHeight="1" x14ac:dyDescent="0.2">
      <c r="B102" s="320"/>
      <c r="C102" s="309"/>
      <c r="D102" s="309"/>
      <c r="E102" s="309"/>
      <c r="F102" s="309"/>
      <c r="G102" s="309"/>
      <c r="H102" s="309"/>
      <c r="K102" s="346"/>
    </row>
    <row r="103" spans="2:11" ht="15" customHeight="1" x14ac:dyDescent="0.2">
      <c r="B103" s="320"/>
      <c r="C103" s="309"/>
      <c r="D103" s="309"/>
      <c r="E103" s="309"/>
      <c r="F103" s="309"/>
      <c r="G103" s="309"/>
      <c r="H103" s="309"/>
      <c r="K103" s="346"/>
    </row>
    <row r="104" spans="2:11" ht="15" customHeight="1" x14ac:dyDescent="0.2">
      <c r="B104" s="357"/>
      <c r="C104" s="358"/>
      <c r="D104" s="358"/>
      <c r="E104" s="358"/>
      <c r="F104" s="358"/>
      <c r="G104" s="358"/>
      <c r="H104" s="358"/>
      <c r="I104" s="359"/>
      <c r="J104" s="359"/>
      <c r="K104" s="360"/>
    </row>
  </sheetData>
  <mergeCells count="4">
    <mergeCell ref="A1:D1"/>
    <mergeCell ref="A2:B2"/>
    <mergeCell ref="A3:B3"/>
    <mergeCell ref="A5:B5"/>
  </mergeCells>
  <conditionalFormatting sqref="I84">
    <cfRule type="containsText" dxfId="4" priority="1" operator="containsText" text="Please">
      <formula>NOT(ISERROR(SEARCH("Please",I84)))</formula>
    </cfRule>
  </conditionalFormatting>
  <dataValidations count="1">
    <dataValidation type="list" allowBlank="1" showInputMessage="1" showErrorMessage="1" sqref="F97 D101" xr:uid="{00000000-0002-0000-0900-000000000000}">
      <formula1>"Select,Yes,No"</formula1>
    </dataValidation>
  </dataValidations>
  <pageMargins left="0.70866141732283472" right="0.70866141732283472" top="0.74803149606299213" bottom="0.74803149606299213" header="0.31496062992125984" footer="0.31496062992125984"/>
  <pageSetup paperSize="9" scale="59" orientation="portrait" r:id="rId1"/>
  <headerFooter>
    <oddFooter>&amp;L&amp;I&amp;10&amp;"Arial"Reference Number: 116977_1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>
    <tabColor theme="8" tint="0.39997558519241921"/>
  </sheetPr>
  <dimension ref="A1:K133"/>
  <sheetViews>
    <sheetView topLeftCell="A31" zoomScaleNormal="100" workbookViewId="0">
      <selection activeCell="B52" sqref="B52"/>
    </sheetView>
  </sheetViews>
  <sheetFormatPr defaultColWidth="9.140625" defaultRowHeight="15" customHeight="1" x14ac:dyDescent="0.2"/>
  <cols>
    <col min="1" max="1" width="33.5703125" style="428" customWidth="1"/>
    <col min="2" max="2" width="43.7109375" style="428" customWidth="1"/>
    <col min="3" max="4" width="15.140625" style="428" customWidth="1"/>
    <col min="5" max="5" width="31.28515625" style="428" bestFit="1" customWidth="1"/>
    <col min="6" max="16384" width="9.140625" style="428"/>
  </cols>
  <sheetData>
    <row r="1" spans="1:11" s="429" customFormat="1" ht="15" customHeight="1" x14ac:dyDescent="0.25">
      <c r="A1" s="549" t="s">
        <v>4</v>
      </c>
      <c r="B1" s="549"/>
      <c r="C1" s="549"/>
      <c r="D1" s="549"/>
    </row>
    <row r="2" spans="1:11" s="429" customFormat="1" ht="15" customHeight="1" x14ac:dyDescent="0.2">
      <c r="A2" s="289"/>
      <c r="B2" s="289"/>
      <c r="C2" s="289"/>
      <c r="D2" s="289"/>
      <c r="E2" s="362"/>
      <c r="F2" s="362"/>
      <c r="H2" s="362"/>
      <c r="I2" s="362"/>
      <c r="J2" s="362"/>
    </row>
    <row r="3" spans="1:11" s="429" customFormat="1" ht="15" customHeight="1" x14ac:dyDescent="0.25">
      <c r="A3" s="290" t="s">
        <v>0</v>
      </c>
      <c r="B3" s="288">
        <f>'Summary - 2 Client name '!C3</f>
        <v>0</v>
      </c>
      <c r="C3" s="380"/>
      <c r="D3" s="289"/>
      <c r="G3" s="362"/>
      <c r="I3" s="362"/>
      <c r="J3" s="362"/>
      <c r="K3" s="362"/>
    </row>
    <row r="4" spans="1:11" s="429" customFormat="1" ht="15" customHeight="1" x14ac:dyDescent="0.25">
      <c r="A4" s="290" t="s">
        <v>1</v>
      </c>
      <c r="B4" s="291">
        <f>'Summary - 2 Client name '!C4</f>
        <v>46203</v>
      </c>
      <c r="C4" s="290"/>
      <c r="D4" s="381"/>
      <c r="F4" s="362"/>
      <c r="H4" s="362"/>
      <c r="I4" s="362"/>
      <c r="J4" s="362"/>
    </row>
    <row r="5" spans="1:11" s="429" customFormat="1" ht="15" customHeight="1" x14ac:dyDescent="0.25">
      <c r="A5" s="290" t="s">
        <v>2</v>
      </c>
      <c r="B5" s="290" t="s">
        <v>99</v>
      </c>
      <c r="C5" s="289"/>
      <c r="D5" s="382"/>
      <c r="F5" s="362"/>
      <c r="H5" s="362"/>
      <c r="I5" s="362"/>
      <c r="J5" s="362"/>
    </row>
    <row r="6" spans="1:11" s="429" customFormat="1" ht="15" customHeight="1" x14ac:dyDescent="0.2">
      <c r="A6" s="363"/>
      <c r="B6" s="430"/>
      <c r="C6" s="362"/>
      <c r="D6" s="362"/>
      <c r="E6" s="362"/>
      <c r="F6" s="362"/>
      <c r="H6" s="362"/>
      <c r="I6" s="362"/>
      <c r="J6" s="362"/>
    </row>
    <row r="7" spans="1:11" s="429" customFormat="1" ht="15" customHeight="1" x14ac:dyDescent="0.2">
      <c r="A7" s="364"/>
      <c r="B7" s="365"/>
      <c r="C7" s="364"/>
      <c r="D7" s="364"/>
      <c r="E7" s="431"/>
      <c r="F7" s="431"/>
      <c r="H7" s="431"/>
      <c r="I7" s="364"/>
      <c r="J7" s="364"/>
    </row>
    <row r="8" spans="1:11" s="429" customFormat="1" ht="15" customHeight="1" x14ac:dyDescent="0.2">
      <c r="B8" s="366"/>
      <c r="C8" s="366"/>
      <c r="D8" s="366"/>
    </row>
    <row r="9" spans="1:11" ht="15" customHeight="1" x14ac:dyDescent="0.2">
      <c r="B9" s="367" t="s">
        <v>9</v>
      </c>
      <c r="C9" s="367" t="s">
        <v>100</v>
      </c>
      <c r="D9" s="367" t="s">
        <v>101</v>
      </c>
    </row>
    <row r="10" spans="1:11" ht="15" customHeight="1" x14ac:dyDescent="0.2">
      <c r="C10" s="169"/>
    </row>
    <row r="11" spans="1:11" ht="15" customHeight="1" x14ac:dyDescent="0.2">
      <c r="A11" s="432" t="s">
        <v>102</v>
      </c>
      <c r="B11" s="368" t="s">
        <v>362</v>
      </c>
      <c r="C11" s="369">
        <v>1</v>
      </c>
      <c r="D11" s="433"/>
    </row>
    <row r="12" spans="1:11" ht="15" customHeight="1" x14ac:dyDescent="0.2">
      <c r="A12" s="370"/>
      <c r="B12" s="428" t="s">
        <v>363</v>
      </c>
      <c r="C12" s="371"/>
      <c r="D12" s="434"/>
    </row>
    <row r="13" spans="1:11" ht="15" customHeight="1" x14ac:dyDescent="0.2">
      <c r="A13" s="435"/>
      <c r="B13" s="428" t="s">
        <v>104</v>
      </c>
      <c r="C13" s="372"/>
      <c r="D13" s="434"/>
      <c r="E13" s="199"/>
    </row>
    <row r="14" spans="1:11" ht="15" customHeight="1" x14ac:dyDescent="0.2">
      <c r="A14" s="435"/>
      <c r="B14" s="428" t="s">
        <v>105</v>
      </c>
      <c r="C14" s="372"/>
      <c r="D14" s="434"/>
    </row>
    <row r="15" spans="1:11" ht="15" customHeight="1" x14ac:dyDescent="0.2">
      <c r="A15" s="435"/>
      <c r="B15" s="428" t="s">
        <v>106</v>
      </c>
      <c r="C15" s="372"/>
      <c r="D15" s="434"/>
    </row>
    <row r="16" spans="1:11" ht="15" customHeight="1" x14ac:dyDescent="0.2">
      <c r="A16" s="435"/>
      <c r="B16" s="428" t="s">
        <v>26</v>
      </c>
      <c r="C16" s="372"/>
      <c r="D16" s="434"/>
    </row>
    <row r="17" spans="1:5" ht="15" customHeight="1" x14ac:dyDescent="0.2">
      <c r="A17" s="370"/>
      <c r="B17" s="428" t="s">
        <v>107</v>
      </c>
      <c r="C17" s="372"/>
      <c r="D17" s="434"/>
    </row>
    <row r="18" spans="1:5" ht="15" customHeight="1" x14ac:dyDescent="0.2">
      <c r="A18" s="435"/>
      <c r="B18" s="428" t="s">
        <v>108</v>
      </c>
      <c r="C18" s="372"/>
      <c r="D18" s="434"/>
      <c r="E18" s="199"/>
    </row>
    <row r="19" spans="1:5" ht="15" customHeight="1" x14ac:dyDescent="0.2">
      <c r="A19" s="435"/>
      <c r="C19" s="372"/>
      <c r="D19" s="434"/>
      <c r="E19" s="199"/>
    </row>
    <row r="20" spans="1:5" ht="15" customHeight="1" x14ac:dyDescent="0.2">
      <c r="A20" s="435"/>
      <c r="C20" s="373"/>
      <c r="D20" s="434"/>
      <c r="E20" s="374"/>
    </row>
    <row r="21" spans="1:5" ht="15" customHeight="1" x14ac:dyDescent="0.2">
      <c r="A21" s="436"/>
      <c r="B21" s="437" t="s">
        <v>109</v>
      </c>
      <c r="C21" s="375"/>
      <c r="D21" s="438">
        <f>SUM(C12:C20)*C11</f>
        <v>0</v>
      </c>
      <c r="E21" s="223"/>
    </row>
    <row r="22" spans="1:5" ht="15" customHeight="1" x14ac:dyDescent="0.2">
      <c r="C22" s="169"/>
    </row>
    <row r="23" spans="1:5" ht="15" customHeight="1" x14ac:dyDescent="0.2">
      <c r="A23" s="432" t="s">
        <v>110</v>
      </c>
      <c r="B23" s="439"/>
      <c r="C23" s="376"/>
      <c r="D23" s="433"/>
    </row>
    <row r="24" spans="1:5" ht="15" customHeight="1" x14ac:dyDescent="0.2">
      <c r="A24" s="435"/>
      <c r="B24" s="428" t="s">
        <v>373</v>
      </c>
      <c r="C24" s="371"/>
      <c r="D24" s="434"/>
      <c r="E24" s="199"/>
    </row>
    <row r="25" spans="1:5" ht="15" customHeight="1" x14ac:dyDescent="0.2">
      <c r="A25" s="435"/>
      <c r="B25" s="428" t="s">
        <v>374</v>
      </c>
      <c r="C25" s="371"/>
      <c r="D25" s="434"/>
      <c r="E25" s="199"/>
    </row>
    <row r="26" spans="1:5" ht="15" customHeight="1" x14ac:dyDescent="0.2">
      <c r="A26" s="435"/>
      <c r="B26" s="428" t="s">
        <v>375</v>
      </c>
      <c r="C26" s="371"/>
      <c r="D26" s="434"/>
    </row>
    <row r="27" spans="1:5" ht="15" customHeight="1" x14ac:dyDescent="0.2">
      <c r="A27" s="435"/>
      <c r="B27" s="428" t="s">
        <v>376</v>
      </c>
      <c r="C27" s="375"/>
      <c r="D27" s="434"/>
    </row>
    <row r="28" spans="1:5" ht="15" customHeight="1" x14ac:dyDescent="0.2">
      <c r="A28" s="436"/>
      <c r="B28" s="437" t="s">
        <v>111</v>
      </c>
      <c r="C28" s="375"/>
      <c r="D28" s="438">
        <f>SUM(C23:C27)</f>
        <v>0</v>
      </c>
      <c r="E28" s="223"/>
    </row>
    <row r="29" spans="1:5" ht="15" customHeight="1" x14ac:dyDescent="0.2">
      <c r="C29" s="371"/>
      <c r="D29" s="440"/>
    </row>
    <row r="30" spans="1:5" ht="15" customHeight="1" x14ac:dyDescent="0.2">
      <c r="A30" s="432" t="s">
        <v>112</v>
      </c>
      <c r="B30" s="439"/>
      <c r="C30" s="376"/>
      <c r="D30" s="433"/>
    </row>
    <row r="31" spans="1:5" ht="15" customHeight="1" x14ac:dyDescent="0.2">
      <c r="A31" s="435"/>
      <c r="C31" s="371"/>
      <c r="D31" s="434"/>
    </row>
    <row r="32" spans="1:5" ht="15" customHeight="1" x14ac:dyDescent="0.2">
      <c r="A32" s="435"/>
      <c r="C32" s="375"/>
      <c r="D32" s="434"/>
    </row>
    <row r="33" spans="1:5" ht="15" customHeight="1" x14ac:dyDescent="0.2">
      <c r="A33" s="436"/>
      <c r="B33" s="437" t="s">
        <v>113</v>
      </c>
      <c r="C33" s="375"/>
      <c r="D33" s="438">
        <f>SUM(C30:C32)</f>
        <v>0</v>
      </c>
    </row>
    <row r="34" spans="1:5" ht="15" customHeight="1" x14ac:dyDescent="0.2">
      <c r="C34" s="169"/>
    </row>
    <row r="35" spans="1:5" ht="15" customHeight="1" x14ac:dyDescent="0.2">
      <c r="A35" s="432" t="s">
        <v>114</v>
      </c>
      <c r="B35" s="439"/>
      <c r="C35" s="376"/>
      <c r="D35" s="433"/>
    </row>
    <row r="36" spans="1:5" ht="15" customHeight="1" x14ac:dyDescent="0.2">
      <c r="A36" s="435"/>
      <c r="C36" s="376"/>
      <c r="D36" s="434"/>
      <c r="E36" s="199"/>
    </row>
    <row r="37" spans="1:5" ht="15" customHeight="1" x14ac:dyDescent="0.2">
      <c r="A37" s="435"/>
      <c r="C37" s="375"/>
      <c r="D37" s="434"/>
    </row>
    <row r="38" spans="1:5" ht="15" customHeight="1" x14ac:dyDescent="0.2">
      <c r="A38" s="436"/>
      <c r="B38" s="437" t="s">
        <v>115</v>
      </c>
      <c r="C38" s="375"/>
      <c r="D38" s="438">
        <f>SUM(C35:C37)</f>
        <v>0</v>
      </c>
      <c r="E38" s="223"/>
    </row>
    <row r="39" spans="1:5" ht="15" customHeight="1" x14ac:dyDescent="0.2">
      <c r="C39" s="169"/>
    </row>
    <row r="40" spans="1:5" ht="15" customHeight="1" x14ac:dyDescent="0.2">
      <c r="A40" s="432" t="s">
        <v>116</v>
      </c>
      <c r="B40" s="439"/>
      <c r="C40" s="376"/>
      <c r="D40" s="433"/>
    </row>
    <row r="41" spans="1:5" ht="15" customHeight="1" x14ac:dyDescent="0.2">
      <c r="A41" s="435"/>
      <c r="B41" s="428" t="s">
        <v>366</v>
      </c>
      <c r="C41" s="371"/>
      <c r="D41" s="434"/>
      <c r="E41" s="199"/>
    </row>
    <row r="42" spans="1:5" ht="15" customHeight="1" x14ac:dyDescent="0.2">
      <c r="A42" s="435"/>
      <c r="B42" s="428" t="s">
        <v>367</v>
      </c>
      <c r="C42" s="371"/>
      <c r="D42" s="434"/>
      <c r="E42" s="199"/>
    </row>
    <row r="43" spans="1:5" ht="15" customHeight="1" x14ac:dyDescent="0.2">
      <c r="A43" s="435"/>
      <c r="B43" s="428" t="s">
        <v>368</v>
      </c>
      <c r="C43" s="371"/>
      <c r="D43" s="434"/>
    </row>
    <row r="44" spans="1:5" ht="15" customHeight="1" x14ac:dyDescent="0.2">
      <c r="A44" s="435"/>
      <c r="B44" s="428" t="s">
        <v>364</v>
      </c>
      <c r="C44" s="371"/>
      <c r="D44" s="434"/>
    </row>
    <row r="45" spans="1:5" ht="15" customHeight="1" x14ac:dyDescent="0.2">
      <c r="A45" s="435"/>
      <c r="B45" s="428" t="s">
        <v>365</v>
      </c>
      <c r="C45" s="371"/>
      <c r="D45" s="434"/>
      <c r="E45" s="199"/>
    </row>
    <row r="46" spans="1:5" ht="15" customHeight="1" x14ac:dyDescent="0.2">
      <c r="A46" s="435"/>
      <c r="B46" s="428" t="s">
        <v>107</v>
      </c>
      <c r="C46" s="371"/>
      <c r="D46" s="434"/>
    </row>
    <row r="47" spans="1:5" ht="15" customHeight="1" x14ac:dyDescent="0.2">
      <c r="A47" s="435"/>
      <c r="C47" s="371"/>
      <c r="D47" s="434"/>
    </row>
    <row r="48" spans="1:5" ht="15" customHeight="1" x14ac:dyDescent="0.2">
      <c r="A48" s="435"/>
      <c r="C48" s="375"/>
      <c r="D48" s="434"/>
    </row>
    <row r="49" spans="1:5" ht="15" customHeight="1" x14ac:dyDescent="0.2">
      <c r="A49" s="436"/>
      <c r="B49" s="437" t="s">
        <v>118</v>
      </c>
      <c r="C49" s="375"/>
      <c r="D49" s="438">
        <f>SUM(C40:C48)</f>
        <v>0</v>
      </c>
      <c r="E49" s="223"/>
    </row>
    <row r="50" spans="1:5" ht="15" customHeight="1" x14ac:dyDescent="0.2">
      <c r="C50" s="169"/>
    </row>
    <row r="51" spans="1:5" ht="15" customHeight="1" x14ac:dyDescent="0.2">
      <c r="A51" s="432" t="s">
        <v>119</v>
      </c>
      <c r="B51" s="439"/>
      <c r="C51" s="376"/>
      <c r="D51" s="433"/>
    </row>
    <row r="52" spans="1:5" ht="15" customHeight="1" x14ac:dyDescent="0.2">
      <c r="A52" s="435"/>
      <c r="C52" s="371"/>
      <c r="D52" s="434"/>
    </row>
    <row r="53" spans="1:5" ht="15" customHeight="1" x14ac:dyDescent="0.2">
      <c r="A53" s="435"/>
      <c r="C53" s="371"/>
      <c r="D53" s="434"/>
    </row>
    <row r="54" spans="1:5" ht="15" customHeight="1" x14ac:dyDescent="0.2">
      <c r="A54" s="436"/>
      <c r="B54" s="437" t="s">
        <v>120</v>
      </c>
      <c r="C54" s="375"/>
      <c r="D54" s="438">
        <f>SUM(C51:C53)</f>
        <v>0</v>
      </c>
    </row>
    <row r="55" spans="1:5" ht="15" customHeight="1" x14ac:dyDescent="0.2">
      <c r="C55" s="169"/>
    </row>
    <row r="56" spans="1:5" ht="15" customHeight="1" x14ac:dyDescent="0.2">
      <c r="A56" s="432" t="s">
        <v>121</v>
      </c>
      <c r="B56" s="439"/>
      <c r="C56" s="376"/>
      <c r="D56" s="433"/>
    </row>
    <row r="57" spans="1:5" ht="15" customHeight="1" x14ac:dyDescent="0.2">
      <c r="A57" s="435"/>
      <c r="C57" s="371"/>
      <c r="D57" s="434"/>
    </row>
    <row r="58" spans="1:5" ht="15" customHeight="1" x14ac:dyDescent="0.2">
      <c r="A58" s="435"/>
      <c r="C58" s="371"/>
      <c r="D58" s="434"/>
    </row>
    <row r="59" spans="1:5" ht="15" customHeight="1" x14ac:dyDescent="0.2">
      <c r="A59" s="436"/>
      <c r="B59" s="437" t="s">
        <v>122</v>
      </c>
      <c r="C59" s="375"/>
      <c r="D59" s="438">
        <f>SUM(C56:C58)</f>
        <v>0</v>
      </c>
    </row>
    <row r="60" spans="1:5" ht="15" customHeight="1" x14ac:dyDescent="0.2">
      <c r="C60" s="169"/>
    </row>
    <row r="61" spans="1:5" ht="15" customHeight="1" x14ac:dyDescent="0.2">
      <c r="A61" s="432" t="s">
        <v>123</v>
      </c>
      <c r="B61" s="439"/>
      <c r="C61" s="376"/>
      <c r="D61" s="433"/>
    </row>
    <row r="62" spans="1:5" ht="15" customHeight="1" x14ac:dyDescent="0.2">
      <c r="A62" s="435"/>
      <c r="C62" s="371"/>
      <c r="D62" s="434"/>
    </row>
    <row r="63" spans="1:5" ht="15" customHeight="1" x14ac:dyDescent="0.2">
      <c r="A63" s="435"/>
      <c r="C63" s="371"/>
      <c r="D63" s="434"/>
    </row>
    <row r="64" spans="1:5" ht="15" customHeight="1" x14ac:dyDescent="0.2">
      <c r="A64" s="436"/>
      <c r="B64" s="437" t="s">
        <v>124</v>
      </c>
      <c r="C64" s="375"/>
      <c r="D64" s="438">
        <f>SUM(C61:C63)</f>
        <v>0</v>
      </c>
    </row>
    <row r="65" spans="1:5" ht="15" customHeight="1" x14ac:dyDescent="0.2">
      <c r="C65" s="169"/>
    </row>
    <row r="66" spans="1:5" ht="15" customHeight="1" x14ac:dyDescent="0.2">
      <c r="A66" s="432" t="s">
        <v>125</v>
      </c>
      <c r="B66" s="439"/>
      <c r="C66" s="376"/>
      <c r="D66" s="433"/>
    </row>
    <row r="67" spans="1:5" ht="15" customHeight="1" x14ac:dyDescent="0.2">
      <c r="A67" s="435"/>
      <c r="C67" s="371"/>
      <c r="D67" s="434"/>
      <c r="E67" s="169"/>
    </row>
    <row r="68" spans="1:5" ht="15" customHeight="1" x14ac:dyDescent="0.2">
      <c r="A68" s="435"/>
      <c r="C68" s="371"/>
      <c r="D68" s="434"/>
      <c r="E68" s="169"/>
    </row>
    <row r="69" spans="1:5" ht="15" customHeight="1" x14ac:dyDescent="0.2">
      <c r="A69" s="436"/>
      <c r="B69" s="437" t="s">
        <v>126</v>
      </c>
      <c r="C69" s="375"/>
      <c r="D69" s="438">
        <f>SUM(C66:C68)</f>
        <v>0</v>
      </c>
    </row>
    <row r="70" spans="1:5" ht="15" customHeight="1" x14ac:dyDescent="0.2">
      <c r="C70" s="169"/>
    </row>
    <row r="71" spans="1:5" ht="15" customHeight="1" x14ac:dyDescent="0.2">
      <c r="A71" s="432" t="s">
        <v>127</v>
      </c>
      <c r="B71" s="439" t="s">
        <v>548</v>
      </c>
      <c r="C71" s="376"/>
      <c r="D71" s="433"/>
    </row>
    <row r="72" spans="1:5" ht="15" customHeight="1" x14ac:dyDescent="0.2">
      <c r="A72" s="435"/>
      <c r="B72" s="428" t="s">
        <v>369</v>
      </c>
      <c r="C72" s="371"/>
      <c r="D72" s="434"/>
    </row>
    <row r="73" spans="1:5" ht="15" customHeight="1" x14ac:dyDescent="0.2">
      <c r="A73" s="435"/>
      <c r="B73" s="428" t="s">
        <v>370</v>
      </c>
      <c r="C73" s="371"/>
      <c r="D73" s="434"/>
    </row>
    <row r="74" spans="1:5" ht="15" customHeight="1" x14ac:dyDescent="0.2">
      <c r="A74" s="436"/>
      <c r="B74" s="437" t="s">
        <v>128</v>
      </c>
      <c r="C74" s="375"/>
      <c r="D74" s="438">
        <f>SUM(C71:C73)</f>
        <v>0</v>
      </c>
    </row>
    <row r="75" spans="1:5" ht="15" customHeight="1" x14ac:dyDescent="0.2">
      <c r="C75" s="169"/>
    </row>
    <row r="76" spans="1:5" ht="15" customHeight="1" x14ac:dyDescent="0.2">
      <c r="A76" s="432" t="s">
        <v>129</v>
      </c>
      <c r="B76" s="439"/>
      <c r="C76" s="376"/>
      <c r="D76" s="433"/>
    </row>
    <row r="77" spans="1:5" ht="15" customHeight="1" x14ac:dyDescent="0.2">
      <c r="A77" s="435"/>
      <c r="C77" s="371"/>
      <c r="D77" s="441"/>
    </row>
    <row r="78" spans="1:5" ht="15" customHeight="1" x14ac:dyDescent="0.2">
      <c r="A78" s="436"/>
      <c r="B78" s="437" t="s">
        <v>130</v>
      </c>
      <c r="C78" s="375"/>
      <c r="D78" s="438">
        <f>SUM(C76:C77)</f>
        <v>0</v>
      </c>
    </row>
    <row r="79" spans="1:5" ht="15" customHeight="1" x14ac:dyDescent="0.2">
      <c r="C79" s="169"/>
    </row>
    <row r="80" spans="1:5" ht="15" customHeight="1" x14ac:dyDescent="0.2">
      <c r="A80" s="432" t="s">
        <v>131</v>
      </c>
      <c r="B80" s="439" t="s">
        <v>372</v>
      </c>
      <c r="C80" s="376"/>
      <c r="D80" s="442"/>
    </row>
    <row r="81" spans="1:6" ht="15" customHeight="1" x14ac:dyDescent="0.2">
      <c r="A81" s="436"/>
      <c r="B81" s="437" t="s">
        <v>132</v>
      </c>
      <c r="C81" s="375"/>
      <c r="D81" s="438">
        <f>C80</f>
        <v>0</v>
      </c>
    </row>
    <row r="82" spans="1:6" ht="15" customHeight="1" x14ac:dyDescent="0.2">
      <c r="C82" s="169"/>
    </row>
    <row r="83" spans="1:6" ht="15" customHeight="1" x14ac:dyDescent="0.2">
      <c r="A83" s="432" t="s">
        <v>133</v>
      </c>
      <c r="B83" s="439"/>
      <c r="C83" s="376"/>
      <c r="D83" s="442"/>
    </row>
    <row r="84" spans="1:6" ht="15" customHeight="1" x14ac:dyDescent="0.2">
      <c r="A84" s="436"/>
      <c r="B84" s="437" t="s">
        <v>134</v>
      </c>
      <c r="C84" s="375"/>
      <c r="D84" s="438">
        <f>C83</f>
        <v>0</v>
      </c>
    </row>
    <row r="85" spans="1:6" ht="15" customHeight="1" x14ac:dyDescent="0.2">
      <c r="C85" s="169"/>
    </row>
    <row r="86" spans="1:6" ht="15" customHeight="1" x14ac:dyDescent="0.2">
      <c r="A86" s="432" t="s">
        <v>135</v>
      </c>
      <c r="B86" s="439"/>
      <c r="C86" s="376"/>
      <c r="D86" s="442"/>
    </row>
    <row r="87" spans="1:6" ht="15" customHeight="1" x14ac:dyDescent="0.2">
      <c r="A87" s="436"/>
      <c r="B87" s="437" t="s">
        <v>136</v>
      </c>
      <c r="C87" s="375"/>
      <c r="D87" s="438">
        <f>C86</f>
        <v>0</v>
      </c>
    </row>
    <row r="88" spans="1:6" ht="15" customHeight="1" x14ac:dyDescent="0.2">
      <c r="C88" s="169"/>
    </row>
    <row r="89" spans="1:6" ht="15" customHeight="1" x14ac:dyDescent="0.2">
      <c r="A89" s="432" t="s">
        <v>137</v>
      </c>
      <c r="B89" s="439"/>
      <c r="C89" s="376"/>
      <c r="D89" s="433"/>
    </row>
    <row r="90" spans="1:6" ht="15" customHeight="1" x14ac:dyDescent="0.2">
      <c r="A90" s="435"/>
      <c r="B90" s="428" t="s">
        <v>371</v>
      </c>
      <c r="C90" s="371"/>
      <c r="D90" s="434"/>
    </row>
    <row r="91" spans="1:6" ht="15" customHeight="1" x14ac:dyDescent="0.2">
      <c r="A91" s="435"/>
      <c r="C91" s="371"/>
      <c r="D91" s="441"/>
    </row>
    <row r="92" spans="1:6" ht="15" customHeight="1" x14ac:dyDescent="0.2">
      <c r="A92" s="436"/>
      <c r="B92" s="437" t="s">
        <v>138</v>
      </c>
      <c r="C92" s="375"/>
      <c r="D92" s="438">
        <f>SUM(C89:C91)</f>
        <v>0</v>
      </c>
    </row>
    <row r="93" spans="1:6" ht="15" customHeight="1" x14ac:dyDescent="0.2">
      <c r="C93" s="169"/>
    </row>
    <row r="94" spans="1:6" ht="15" customHeight="1" x14ac:dyDescent="0.2">
      <c r="C94" s="377"/>
    </row>
    <row r="95" spans="1:6" ht="15" customHeight="1" thickBot="1" x14ac:dyDescent="0.25">
      <c r="B95" s="232" t="s">
        <v>139</v>
      </c>
      <c r="C95" s="378">
        <f>SUM(C12:C94)</f>
        <v>0</v>
      </c>
      <c r="E95" s="428">
        <f>SUM(D11:D94)</f>
        <v>0</v>
      </c>
      <c r="F95" s="428" t="s">
        <v>140</v>
      </c>
    </row>
    <row r="96" spans="1:6" ht="15" customHeight="1" thickTop="1" x14ac:dyDescent="0.2"/>
    <row r="102" spans="1:3" ht="15" customHeight="1" x14ac:dyDescent="0.2">
      <c r="B102" s="443"/>
      <c r="C102" s="379"/>
    </row>
    <row r="103" spans="1:3" ht="15" customHeight="1" x14ac:dyDescent="0.2">
      <c r="B103" s="443"/>
      <c r="C103" s="379"/>
    </row>
    <row r="104" spans="1:3" ht="15" customHeight="1" x14ac:dyDescent="0.2">
      <c r="C104" s="379"/>
    </row>
    <row r="105" spans="1:3" ht="15" customHeight="1" x14ac:dyDescent="0.2">
      <c r="C105" s="379"/>
    </row>
    <row r="106" spans="1:3" ht="15" customHeight="1" x14ac:dyDescent="0.2">
      <c r="C106" s="379"/>
    </row>
    <row r="107" spans="1:3" ht="15" customHeight="1" x14ac:dyDescent="0.2">
      <c r="C107" s="379"/>
    </row>
    <row r="108" spans="1:3" ht="15" customHeight="1" x14ac:dyDescent="0.2">
      <c r="C108" s="379"/>
    </row>
    <row r="109" spans="1:3" ht="15" customHeight="1" x14ac:dyDescent="0.2">
      <c r="A109" s="160"/>
      <c r="B109" s="160"/>
      <c r="C109" s="160"/>
    </row>
    <row r="110" spans="1:3" ht="15" customHeight="1" x14ac:dyDescent="0.2">
      <c r="A110" s="160"/>
      <c r="B110" s="160"/>
      <c r="C110" s="160"/>
    </row>
    <row r="111" spans="1:3" ht="15" customHeight="1" x14ac:dyDescent="0.2">
      <c r="A111" s="444"/>
      <c r="B111" s="160"/>
      <c r="C111" s="160"/>
    </row>
    <row r="112" spans="1:3" ht="15" customHeight="1" x14ac:dyDescent="0.2">
      <c r="A112" s="444"/>
      <c r="B112" s="160"/>
      <c r="C112" s="160"/>
    </row>
    <row r="113" spans="1:3" ht="15" customHeight="1" x14ac:dyDescent="0.2">
      <c r="A113" s="444"/>
      <c r="B113" s="160"/>
      <c r="C113" s="160"/>
    </row>
    <row r="114" spans="1:3" ht="15" customHeight="1" x14ac:dyDescent="0.2">
      <c r="A114" s="444"/>
      <c r="B114" s="160"/>
      <c r="C114" s="160"/>
    </row>
    <row r="115" spans="1:3" ht="15" customHeight="1" x14ac:dyDescent="0.2">
      <c r="A115" s="444"/>
      <c r="B115" s="160"/>
      <c r="C115" s="160"/>
    </row>
    <row r="116" spans="1:3" ht="15" customHeight="1" x14ac:dyDescent="0.2">
      <c r="A116" s="444"/>
      <c r="B116" s="160"/>
      <c r="C116" s="160"/>
    </row>
    <row r="117" spans="1:3" ht="15" customHeight="1" x14ac:dyDescent="0.2">
      <c r="A117" s="444"/>
      <c r="B117" s="160"/>
      <c r="C117" s="160"/>
    </row>
    <row r="118" spans="1:3" ht="15" customHeight="1" x14ac:dyDescent="0.2">
      <c r="A118" s="444"/>
      <c r="B118" s="160"/>
      <c r="C118" s="160"/>
    </row>
    <row r="119" spans="1:3" ht="15" customHeight="1" x14ac:dyDescent="0.2">
      <c r="A119" s="444"/>
      <c r="B119" s="160"/>
      <c r="C119" s="160"/>
    </row>
    <row r="120" spans="1:3" ht="15" customHeight="1" x14ac:dyDescent="0.2">
      <c r="A120" s="444"/>
      <c r="B120" s="160"/>
      <c r="C120" s="160"/>
    </row>
    <row r="121" spans="1:3" ht="15" customHeight="1" x14ac:dyDescent="0.2">
      <c r="A121" s="444"/>
      <c r="B121" s="160"/>
      <c r="C121" s="160"/>
    </row>
    <row r="122" spans="1:3" ht="15" customHeight="1" x14ac:dyDescent="0.2">
      <c r="A122" s="444"/>
      <c r="B122" s="160"/>
      <c r="C122" s="160"/>
    </row>
    <row r="123" spans="1:3" ht="15" customHeight="1" x14ac:dyDescent="0.2">
      <c r="A123" s="444"/>
      <c r="B123" s="160"/>
      <c r="C123" s="160"/>
    </row>
    <row r="124" spans="1:3" ht="15" customHeight="1" x14ac:dyDescent="0.2">
      <c r="A124" s="444"/>
      <c r="B124" s="160"/>
      <c r="C124" s="160"/>
    </row>
    <row r="125" spans="1:3" ht="15" customHeight="1" x14ac:dyDescent="0.2">
      <c r="A125" s="444"/>
      <c r="B125" s="160"/>
      <c r="C125" s="160"/>
    </row>
    <row r="126" spans="1:3" ht="15" customHeight="1" x14ac:dyDescent="0.2">
      <c r="A126" s="444"/>
      <c r="B126" s="160"/>
      <c r="C126" s="160"/>
    </row>
    <row r="127" spans="1:3" ht="15" customHeight="1" x14ac:dyDescent="0.2">
      <c r="A127" s="444"/>
      <c r="B127" s="160"/>
      <c r="C127" s="160"/>
    </row>
    <row r="128" spans="1:3" ht="15" customHeight="1" x14ac:dyDescent="0.2">
      <c r="A128" s="444"/>
      <c r="B128" s="160"/>
      <c r="C128" s="160"/>
    </row>
    <row r="129" spans="1:3" ht="15" customHeight="1" x14ac:dyDescent="0.2">
      <c r="A129" s="444"/>
      <c r="B129" s="160"/>
      <c r="C129" s="160"/>
    </row>
    <row r="130" spans="1:3" ht="15" customHeight="1" x14ac:dyDescent="0.2">
      <c r="A130" s="160"/>
      <c r="B130" s="160"/>
      <c r="C130" s="160"/>
    </row>
    <row r="131" spans="1:3" ht="15" customHeight="1" x14ac:dyDescent="0.2">
      <c r="A131" s="160"/>
      <c r="B131" s="160"/>
      <c r="C131" s="160"/>
    </row>
    <row r="132" spans="1:3" ht="15" customHeight="1" x14ac:dyDescent="0.2">
      <c r="A132" s="160"/>
      <c r="B132" s="160"/>
      <c r="C132" s="160"/>
    </row>
    <row r="133" spans="1:3" ht="15" customHeight="1" x14ac:dyDescent="0.2">
      <c r="A133" s="160"/>
      <c r="B133" s="160"/>
      <c r="C133" s="160"/>
    </row>
  </sheetData>
  <mergeCells count="1">
    <mergeCell ref="A1:D1"/>
  </mergeCell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G30"/>
  <sheetViews>
    <sheetView showGridLines="0" zoomScale="80" zoomScaleNormal="80" workbookViewId="0">
      <selection activeCell="C26" sqref="C26"/>
    </sheetView>
  </sheetViews>
  <sheetFormatPr defaultColWidth="8.85546875" defaultRowHeight="12.75" x14ac:dyDescent="0.2"/>
  <cols>
    <col min="1" max="1" width="44.5703125" customWidth="1"/>
    <col min="2" max="2" width="10.7109375" customWidth="1"/>
    <col min="3" max="3" width="22.7109375" customWidth="1"/>
    <col min="5" max="5" width="44.5703125" customWidth="1"/>
    <col min="6" max="6" width="10.7109375" customWidth="1"/>
    <col min="7" max="7" width="22.7109375" customWidth="1"/>
  </cols>
  <sheetData>
    <row r="1" spans="1:7" ht="15.75" x14ac:dyDescent="0.25">
      <c r="A1" s="555">
        <f>'Summary - 1 Client name '!C3</f>
        <v>0</v>
      </c>
      <c r="B1" s="555"/>
      <c r="C1" s="555"/>
      <c r="D1" s="385"/>
      <c r="E1" s="555">
        <f>'Summary - 2 Client name '!C3</f>
        <v>0</v>
      </c>
      <c r="F1" s="555"/>
      <c r="G1" s="555"/>
    </row>
    <row r="2" spans="1:7" ht="15.75" x14ac:dyDescent="0.25">
      <c r="A2" s="556" t="s">
        <v>232</v>
      </c>
      <c r="B2" s="556"/>
      <c r="C2" s="556"/>
      <c r="D2" s="386"/>
      <c r="E2" s="556" t="s">
        <v>232</v>
      </c>
      <c r="F2" s="556"/>
      <c r="G2" s="556"/>
    </row>
    <row r="4" spans="1:7" x14ac:dyDescent="0.2">
      <c r="A4" s="383"/>
      <c r="B4" s="383"/>
      <c r="C4" s="383"/>
      <c r="D4" s="383"/>
      <c r="E4" s="383"/>
      <c r="F4" s="383"/>
      <c r="G4" s="383"/>
    </row>
    <row r="5" spans="1:7" x14ac:dyDescent="0.2">
      <c r="A5" s="154"/>
      <c r="B5" s="388"/>
      <c r="E5" s="154"/>
      <c r="F5" s="388"/>
    </row>
    <row r="6" spans="1:7" x14ac:dyDescent="0.2">
      <c r="A6" s="425" t="s">
        <v>233</v>
      </c>
      <c r="B6" s="426" t="s">
        <v>141</v>
      </c>
      <c r="C6" s="426" t="s">
        <v>10</v>
      </c>
      <c r="E6" s="425" t="s">
        <v>233</v>
      </c>
      <c r="F6" s="426" t="s">
        <v>141</v>
      </c>
      <c r="G6" s="426" t="s">
        <v>10</v>
      </c>
    </row>
    <row r="7" spans="1:7" x14ac:dyDescent="0.2">
      <c r="A7" s="384" t="s">
        <v>234</v>
      </c>
      <c r="B7" s="397">
        <v>0.7</v>
      </c>
      <c r="C7" s="390"/>
      <c r="E7" s="384" t="s">
        <v>234</v>
      </c>
      <c r="F7" s="397">
        <v>0.7</v>
      </c>
      <c r="G7" s="390"/>
    </row>
    <row r="8" spans="1:7" x14ac:dyDescent="0.2">
      <c r="A8" s="384" t="s">
        <v>380</v>
      </c>
      <c r="B8" s="391"/>
      <c r="C8" s="391"/>
      <c r="E8" s="384" t="s">
        <v>380</v>
      </c>
      <c r="F8" s="391"/>
      <c r="G8" s="391"/>
    </row>
    <row r="9" spans="1:7" x14ac:dyDescent="0.2">
      <c r="A9" s="384" t="s">
        <v>381</v>
      </c>
      <c r="B9" s="391"/>
      <c r="C9" s="391"/>
      <c r="E9" s="384" t="s">
        <v>381</v>
      </c>
      <c r="F9" s="391"/>
      <c r="G9" s="391"/>
    </row>
    <row r="10" spans="1:7" x14ac:dyDescent="0.2">
      <c r="A10" s="392" t="s">
        <v>101</v>
      </c>
      <c r="B10" s="396">
        <f>+B7*B8*B9</f>
        <v>0</v>
      </c>
      <c r="C10" s="393"/>
      <c r="E10" s="392" t="s">
        <v>101</v>
      </c>
      <c r="F10" s="396">
        <f>+F7*F8*F9</f>
        <v>0</v>
      </c>
      <c r="G10" s="393"/>
    </row>
    <row r="11" spans="1:7" x14ac:dyDescent="0.2">
      <c r="A11" s="392" t="s">
        <v>235</v>
      </c>
      <c r="B11" s="393"/>
      <c r="C11" s="393"/>
      <c r="E11" s="392" t="s">
        <v>235</v>
      </c>
      <c r="F11" s="393"/>
      <c r="G11" s="393"/>
    </row>
    <row r="12" spans="1:7" x14ac:dyDescent="0.2">
      <c r="A12" s="384" t="s">
        <v>236</v>
      </c>
      <c r="B12" s="397"/>
      <c r="C12" s="390"/>
      <c r="E12" s="384" t="s">
        <v>236</v>
      </c>
      <c r="F12" s="397"/>
      <c r="G12" s="390"/>
    </row>
    <row r="13" spans="1:7" x14ac:dyDescent="0.2">
      <c r="A13" s="384" t="s">
        <v>237</v>
      </c>
      <c r="B13" s="397"/>
      <c r="C13" s="390"/>
      <c r="E13" s="384" t="s">
        <v>237</v>
      </c>
      <c r="F13" s="397"/>
      <c r="G13" s="390"/>
    </row>
    <row r="14" spans="1:7" x14ac:dyDescent="0.2">
      <c r="A14" s="384" t="s">
        <v>378</v>
      </c>
      <c r="B14" s="397"/>
      <c r="C14" s="390"/>
      <c r="E14" s="384" t="s">
        <v>378</v>
      </c>
      <c r="F14" s="397"/>
      <c r="G14" s="390"/>
    </row>
    <row r="15" spans="1:7" x14ac:dyDescent="0.2">
      <c r="A15" s="384" t="s">
        <v>379</v>
      </c>
      <c r="B15" s="396"/>
      <c r="C15" s="393"/>
      <c r="E15" s="384" t="s">
        <v>379</v>
      </c>
      <c r="F15" s="396"/>
      <c r="G15" s="393"/>
    </row>
    <row r="16" spans="1:7" x14ac:dyDescent="0.2">
      <c r="A16" s="392" t="s">
        <v>101</v>
      </c>
      <c r="B16" s="396">
        <f>SUM(B12:B14)</f>
        <v>0</v>
      </c>
      <c r="C16" s="393"/>
      <c r="E16" s="392" t="s">
        <v>101</v>
      </c>
      <c r="F16" s="396">
        <f>SUM(F12:F14)</f>
        <v>0</v>
      </c>
      <c r="G16" s="393"/>
    </row>
    <row r="17" spans="1:7" x14ac:dyDescent="0.2">
      <c r="A17" s="392" t="s">
        <v>238</v>
      </c>
      <c r="B17" s="396">
        <f>+B10+B16</f>
        <v>0</v>
      </c>
      <c r="C17" s="393"/>
      <c r="E17" s="392" t="s">
        <v>238</v>
      </c>
      <c r="F17" s="396">
        <f>+F10+F16</f>
        <v>0</v>
      </c>
      <c r="G17" s="393"/>
    </row>
    <row r="18" spans="1:7" x14ac:dyDescent="0.2">
      <c r="B18" s="394"/>
      <c r="C18" s="394"/>
      <c r="F18" s="394"/>
      <c r="G18" s="394"/>
    </row>
    <row r="19" spans="1:7" x14ac:dyDescent="0.2">
      <c r="B19" s="394"/>
      <c r="C19" s="394"/>
      <c r="F19" s="394"/>
      <c r="G19" s="394"/>
    </row>
    <row r="20" spans="1:7" x14ac:dyDescent="0.2">
      <c r="A20" s="425" t="s">
        <v>377</v>
      </c>
      <c r="B20" s="426" t="s">
        <v>141</v>
      </c>
      <c r="C20" s="426" t="s">
        <v>10</v>
      </c>
      <c r="E20" s="425" t="s">
        <v>377</v>
      </c>
      <c r="F20" s="426" t="s">
        <v>141</v>
      </c>
      <c r="G20" s="426" t="s">
        <v>10</v>
      </c>
    </row>
    <row r="21" spans="1:7" x14ac:dyDescent="0.2">
      <c r="A21" s="384" t="s">
        <v>378</v>
      </c>
      <c r="B21" s="397"/>
      <c r="C21" s="390"/>
      <c r="E21" s="384" t="s">
        <v>378</v>
      </c>
      <c r="F21" s="397"/>
      <c r="G21" s="390"/>
    </row>
    <row r="22" spans="1:7" x14ac:dyDescent="0.2">
      <c r="A22" s="384" t="s">
        <v>382</v>
      </c>
      <c r="B22" s="397"/>
      <c r="C22" s="390"/>
      <c r="E22" s="384" t="s">
        <v>382</v>
      </c>
      <c r="F22" s="397"/>
      <c r="G22" s="390"/>
    </row>
    <row r="23" spans="1:7" x14ac:dyDescent="0.2">
      <c r="A23" s="384" t="s">
        <v>383</v>
      </c>
      <c r="B23" s="397"/>
      <c r="C23" s="390"/>
      <c r="E23" s="384" t="s">
        <v>383</v>
      </c>
      <c r="F23" s="397"/>
      <c r="G23" s="390"/>
    </row>
    <row r="24" spans="1:7" x14ac:dyDescent="0.2">
      <c r="A24" s="384" t="s">
        <v>384</v>
      </c>
      <c r="B24" s="397"/>
      <c r="C24" s="390"/>
      <c r="E24" s="384" t="s">
        <v>384</v>
      </c>
      <c r="F24" s="397"/>
      <c r="G24" s="390"/>
    </row>
    <row r="25" spans="1:7" x14ac:dyDescent="0.2">
      <c r="A25" s="399" t="s">
        <v>385</v>
      </c>
      <c r="B25" s="397"/>
      <c r="C25" s="390"/>
      <c r="E25" s="399" t="s">
        <v>385</v>
      </c>
      <c r="F25" s="397"/>
      <c r="G25" s="390"/>
    </row>
    <row r="26" spans="1:7" x14ac:dyDescent="0.2">
      <c r="A26" s="384" t="s">
        <v>386</v>
      </c>
      <c r="B26" s="400"/>
      <c r="C26" s="390"/>
      <c r="E26" s="384" t="s">
        <v>386</v>
      </c>
      <c r="F26" s="400"/>
      <c r="G26" s="390"/>
    </row>
    <row r="27" spans="1:7" x14ac:dyDescent="0.2">
      <c r="A27" s="392" t="s">
        <v>101</v>
      </c>
      <c r="B27" s="397">
        <f>SUM(B21:B25)</f>
        <v>0</v>
      </c>
      <c r="C27" s="390"/>
      <c r="E27" s="392" t="s">
        <v>101</v>
      </c>
      <c r="F27" s="397">
        <f>SUM(F21:F25)</f>
        <v>0</v>
      </c>
      <c r="G27" s="390"/>
    </row>
    <row r="28" spans="1:7" x14ac:dyDescent="0.2">
      <c r="B28" s="394"/>
      <c r="C28" s="394"/>
      <c r="F28" s="394"/>
      <c r="G28" s="394"/>
    </row>
    <row r="29" spans="1:7" x14ac:dyDescent="0.2">
      <c r="B29" s="394"/>
      <c r="C29" s="394"/>
      <c r="F29" s="394"/>
      <c r="G29" s="394"/>
    </row>
    <row r="30" spans="1:7" x14ac:dyDescent="0.2">
      <c r="A30" s="389" t="s">
        <v>239</v>
      </c>
      <c r="B30" s="398">
        <f>+MAX(B17,B27)</f>
        <v>0</v>
      </c>
      <c r="C30" s="395"/>
      <c r="E30" s="389" t="s">
        <v>239</v>
      </c>
      <c r="F30" s="398">
        <f>+MAX(F17,F27)</f>
        <v>0</v>
      </c>
      <c r="G30" s="395"/>
    </row>
  </sheetData>
  <mergeCells count="4">
    <mergeCell ref="A1:C1"/>
    <mergeCell ref="A2:C2"/>
    <mergeCell ref="E1:G1"/>
    <mergeCell ref="E2:G2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71204-5FF5-43BC-B247-70EE14390A6A}">
  <dimension ref="A1:O12"/>
  <sheetViews>
    <sheetView workbookViewId="0">
      <selection activeCell="C21" sqref="C21"/>
    </sheetView>
  </sheetViews>
  <sheetFormatPr defaultRowHeight="12.75" x14ac:dyDescent="0.2"/>
  <cols>
    <col min="1" max="1" width="30.5703125" customWidth="1"/>
    <col min="2" max="2" width="17.85546875" customWidth="1"/>
    <col min="3" max="14" width="12.5703125" style="383" customWidth="1"/>
    <col min="15" max="15" width="49.140625" bestFit="1" customWidth="1"/>
  </cols>
  <sheetData>
    <row r="1" spans="1:15" ht="13.5" thickBot="1" x14ac:dyDescent="0.25">
      <c r="A1" s="590" t="s">
        <v>550</v>
      </c>
      <c r="B1" s="590"/>
      <c r="C1" s="591"/>
      <c r="D1" s="591"/>
      <c r="E1" s="591"/>
      <c r="F1" s="591"/>
      <c r="G1" s="591"/>
      <c r="H1" s="592"/>
      <c r="I1" s="592"/>
      <c r="J1" s="593"/>
      <c r="K1" s="593"/>
      <c r="L1" s="593"/>
      <c r="M1" s="593"/>
      <c r="N1" s="593"/>
      <c r="O1" s="345"/>
    </row>
    <row r="2" spans="1:15" ht="26.25" thickBot="1" x14ac:dyDescent="0.25">
      <c r="A2" s="581" t="s">
        <v>551</v>
      </c>
      <c r="B2" s="582" t="s">
        <v>552</v>
      </c>
      <c r="C2" s="594" t="s">
        <v>553</v>
      </c>
      <c r="D2" s="594" t="s">
        <v>554</v>
      </c>
      <c r="E2" s="594" t="s">
        <v>555</v>
      </c>
      <c r="F2" s="594" t="s">
        <v>556</v>
      </c>
      <c r="G2" s="594" t="s">
        <v>557</v>
      </c>
      <c r="H2" s="594" t="s">
        <v>257</v>
      </c>
      <c r="I2" s="594" t="s">
        <v>558</v>
      </c>
      <c r="J2" s="594" t="s">
        <v>559</v>
      </c>
      <c r="K2" s="594" t="s">
        <v>560</v>
      </c>
      <c r="L2" s="594" t="s">
        <v>561</v>
      </c>
      <c r="M2" s="594" t="s">
        <v>107</v>
      </c>
      <c r="N2" s="594" t="s">
        <v>562</v>
      </c>
      <c r="O2" s="583" t="s">
        <v>563</v>
      </c>
    </row>
    <row r="3" spans="1:15" x14ac:dyDescent="0.2">
      <c r="A3" s="584"/>
      <c r="B3" s="584"/>
      <c r="C3" s="595"/>
      <c r="D3" s="595"/>
      <c r="E3" s="595"/>
      <c r="F3" s="595"/>
      <c r="G3" s="595"/>
      <c r="H3" s="595"/>
      <c r="I3" s="595"/>
      <c r="J3" s="595"/>
      <c r="K3" s="595"/>
      <c r="L3" s="595"/>
      <c r="M3" s="595"/>
      <c r="N3" s="595"/>
      <c r="O3" s="584"/>
    </row>
    <row r="4" spans="1:15" x14ac:dyDescent="0.2">
      <c r="A4" s="585"/>
      <c r="B4" s="585"/>
      <c r="C4" s="596"/>
      <c r="D4" s="596"/>
      <c r="E4" s="596"/>
      <c r="F4" s="596"/>
      <c r="G4" s="596"/>
      <c r="H4" s="596"/>
      <c r="I4" s="596"/>
      <c r="J4" s="596"/>
      <c r="K4" s="596"/>
      <c r="L4" s="596"/>
      <c r="M4" s="596"/>
      <c r="N4" s="596"/>
      <c r="O4" s="585"/>
    </row>
    <row r="5" spans="1:15" x14ac:dyDescent="0.2">
      <c r="A5" s="585"/>
      <c r="B5" s="585"/>
      <c r="C5" s="596"/>
      <c r="D5" s="596"/>
      <c r="E5" s="596"/>
      <c r="F5" s="596"/>
      <c r="G5" s="596"/>
      <c r="H5" s="596"/>
      <c r="I5" s="596"/>
      <c r="J5" s="596"/>
      <c r="K5" s="596"/>
      <c r="L5" s="596"/>
      <c r="M5" s="596"/>
      <c r="N5" s="596"/>
      <c r="O5" s="585"/>
    </row>
    <row r="6" spans="1:15" x14ac:dyDescent="0.2">
      <c r="A6" s="585"/>
      <c r="B6" s="585"/>
      <c r="C6" s="596"/>
      <c r="D6" s="596"/>
      <c r="E6" s="596"/>
      <c r="F6" s="596"/>
      <c r="G6" s="596"/>
      <c r="H6" s="596"/>
      <c r="I6" s="596"/>
      <c r="J6" s="596"/>
      <c r="K6" s="596"/>
      <c r="L6" s="596"/>
      <c r="M6" s="596"/>
      <c r="N6" s="596"/>
      <c r="O6" s="585"/>
    </row>
    <row r="7" spans="1:15" x14ac:dyDescent="0.2">
      <c r="A7" s="585"/>
      <c r="B7" s="585"/>
      <c r="C7" s="596"/>
      <c r="D7" s="596"/>
      <c r="E7" s="596"/>
      <c r="F7" s="596"/>
      <c r="G7" s="596"/>
      <c r="H7" s="596"/>
      <c r="I7" s="596"/>
      <c r="J7" s="596"/>
      <c r="K7" s="596"/>
      <c r="L7" s="596"/>
      <c r="M7" s="596"/>
      <c r="N7" s="596"/>
      <c r="O7" s="585"/>
    </row>
    <row r="8" spans="1:15" x14ac:dyDescent="0.2">
      <c r="A8" s="585"/>
      <c r="B8" s="585"/>
      <c r="C8" s="596"/>
      <c r="D8" s="596"/>
      <c r="E8" s="596"/>
      <c r="F8" s="596"/>
      <c r="G8" s="596"/>
      <c r="H8" s="596"/>
      <c r="I8" s="596"/>
      <c r="J8" s="596"/>
      <c r="K8" s="596"/>
      <c r="L8" s="596"/>
      <c r="M8" s="596"/>
      <c r="N8" s="596"/>
      <c r="O8" s="585"/>
    </row>
    <row r="9" spans="1:15" x14ac:dyDescent="0.2">
      <c r="A9" s="585"/>
      <c r="B9" s="585"/>
      <c r="C9" s="596"/>
      <c r="D9" s="596"/>
      <c r="E9" s="596"/>
      <c r="F9" s="596"/>
      <c r="G9" s="596"/>
      <c r="H9" s="596"/>
      <c r="I9" s="596"/>
      <c r="J9" s="596"/>
      <c r="K9" s="596"/>
      <c r="L9" s="596"/>
      <c r="M9" s="596"/>
      <c r="N9" s="596"/>
      <c r="O9" s="585"/>
    </row>
    <row r="10" spans="1:15" x14ac:dyDescent="0.2">
      <c r="A10" s="588" t="s">
        <v>564</v>
      </c>
      <c r="B10" s="588"/>
      <c r="C10" s="593"/>
      <c r="D10" s="593"/>
      <c r="E10" s="593"/>
      <c r="F10" s="593"/>
      <c r="G10" s="593"/>
      <c r="H10" s="597"/>
      <c r="I10" s="597"/>
      <c r="J10" s="593"/>
      <c r="K10" s="593"/>
      <c r="L10" s="593"/>
      <c r="M10" s="593"/>
      <c r="N10" s="593"/>
      <c r="O10" s="345"/>
    </row>
    <row r="11" spans="1:15" x14ac:dyDescent="0.2">
      <c r="A11" s="587" t="s">
        <v>565</v>
      </c>
      <c r="B11" s="587"/>
      <c r="C11" s="598"/>
      <c r="D11" s="598"/>
      <c r="E11" s="598"/>
      <c r="F11" s="598"/>
      <c r="G11" s="598"/>
      <c r="H11" s="599"/>
      <c r="I11" s="599"/>
      <c r="J11" s="598"/>
      <c r="K11" s="598"/>
      <c r="L11" s="598"/>
      <c r="M11" s="598"/>
      <c r="N11" s="598"/>
      <c r="O11" s="580" t="s">
        <v>566</v>
      </c>
    </row>
    <row r="12" spans="1:15" x14ac:dyDescent="0.2">
      <c r="A12" s="589"/>
      <c r="B12" s="589"/>
      <c r="C12" s="600"/>
      <c r="D12" s="600"/>
      <c r="E12" s="600"/>
      <c r="F12" s="600"/>
      <c r="G12" s="600"/>
      <c r="H12" s="601"/>
      <c r="I12" s="601"/>
      <c r="J12" s="600"/>
      <c r="K12" s="600"/>
      <c r="L12" s="600"/>
      <c r="M12" s="600"/>
      <c r="N12" s="600"/>
      <c r="O12" s="586"/>
    </row>
  </sheetData>
  <mergeCells count="8">
    <mergeCell ref="A12:B12"/>
    <mergeCell ref="H12:I12"/>
    <mergeCell ref="A1:B1"/>
    <mergeCell ref="H1:I1"/>
    <mergeCell ref="A10:B10"/>
    <mergeCell ref="H10:I10"/>
    <mergeCell ref="A11:B11"/>
    <mergeCell ref="H11:I1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7"/>
  <dimension ref="A1:Q55"/>
  <sheetViews>
    <sheetView zoomScale="85" zoomScaleNormal="85" zoomScalePageLayoutView="85" workbookViewId="0">
      <selection sqref="A1:D1"/>
    </sheetView>
  </sheetViews>
  <sheetFormatPr defaultColWidth="9.140625" defaultRowHeight="15" x14ac:dyDescent="0.25"/>
  <cols>
    <col min="1" max="1" width="29.28515625" style="16" customWidth="1"/>
    <col min="2" max="2" width="10.85546875" style="13" customWidth="1"/>
    <col min="3" max="4" width="12.7109375" style="16" customWidth="1"/>
    <col min="5" max="5" width="12.7109375" style="139" customWidth="1"/>
    <col min="6" max="6" width="11.7109375" style="139" customWidth="1"/>
    <col min="7" max="7" width="36.85546875" style="13" customWidth="1"/>
    <col min="8" max="16384" width="9.140625" style="16"/>
  </cols>
  <sheetData>
    <row r="1" spans="1:9" s="111" customFormat="1" ht="21" x14ac:dyDescent="0.35">
      <c r="A1" s="552" t="s">
        <v>4</v>
      </c>
      <c r="B1" s="552"/>
      <c r="C1" s="552"/>
      <c r="D1" s="552"/>
      <c r="E1" s="133"/>
      <c r="F1" s="133"/>
    </row>
    <row r="2" spans="1:9" s="111" customFormat="1" x14ac:dyDescent="0.25">
      <c r="A2" s="105"/>
      <c r="B2" s="105"/>
      <c r="C2" s="105"/>
      <c r="D2" s="105"/>
      <c r="E2" s="134"/>
      <c r="F2" s="134"/>
      <c r="G2" s="112"/>
      <c r="H2" s="112"/>
      <c r="I2" s="112"/>
    </row>
    <row r="3" spans="1:9" s="111" customFormat="1" ht="15.75" x14ac:dyDescent="0.25">
      <c r="A3" s="106" t="s">
        <v>0</v>
      </c>
      <c r="B3" s="108">
        <f>'Summary - 1 Client name '!C3</f>
        <v>0</v>
      </c>
      <c r="C3" s="107"/>
      <c r="D3" s="112"/>
      <c r="E3" s="134"/>
      <c r="F3" s="134"/>
      <c r="G3" s="112"/>
      <c r="H3" s="112"/>
    </row>
    <row r="4" spans="1:9" s="111" customFormat="1" ht="16.5" customHeight="1" x14ac:dyDescent="0.25">
      <c r="A4" s="106" t="s">
        <v>1</v>
      </c>
      <c r="B4" s="109">
        <f>'Summary - 1 Client name '!C4</f>
        <v>46203</v>
      </c>
      <c r="C4" s="106"/>
      <c r="D4" s="132"/>
      <c r="E4" s="135"/>
      <c r="F4" s="135"/>
      <c r="G4" s="131"/>
      <c r="H4" s="131"/>
    </row>
    <row r="5" spans="1:9" s="111" customFormat="1" ht="15.75" x14ac:dyDescent="0.25">
      <c r="A5" s="106" t="s">
        <v>2</v>
      </c>
      <c r="B5" s="106" t="s">
        <v>240</v>
      </c>
      <c r="C5" s="107"/>
      <c r="E5" s="133"/>
      <c r="F5" s="133"/>
    </row>
    <row r="6" spans="1:9" s="1" customFormat="1" ht="15.75" x14ac:dyDescent="0.25">
      <c r="A6" s="96"/>
      <c r="B6" s="95"/>
      <c r="C6" s="96"/>
      <c r="D6" s="95"/>
      <c r="E6" s="136"/>
      <c r="F6" s="136"/>
    </row>
    <row r="7" spans="1:9" s="146" customFormat="1" ht="30" x14ac:dyDescent="0.25">
      <c r="A7" s="139"/>
      <c r="B7" s="147" t="s">
        <v>241</v>
      </c>
      <c r="C7" s="145" t="s">
        <v>242</v>
      </c>
      <c r="D7" s="145" t="s">
        <v>243</v>
      </c>
      <c r="E7" s="145" t="s">
        <v>244</v>
      </c>
      <c r="F7" s="145" t="s">
        <v>245</v>
      </c>
      <c r="G7" s="147"/>
    </row>
    <row r="8" spans="1:9" s="10" customFormat="1" x14ac:dyDescent="0.25">
      <c r="A8" s="16"/>
      <c r="B8" s="16"/>
      <c r="C8" s="8"/>
      <c r="D8" s="8"/>
      <c r="E8" s="137"/>
      <c r="F8" s="137"/>
    </row>
    <row r="9" spans="1:9" x14ac:dyDescent="0.25">
      <c r="A9" s="19"/>
      <c r="B9" s="19"/>
      <c r="C9" s="19"/>
      <c r="D9" s="19"/>
      <c r="E9" s="138"/>
    </row>
    <row r="10" spans="1:9" x14ac:dyDescent="0.25">
      <c r="B10" s="16"/>
      <c r="C10" s="15"/>
      <c r="D10" s="15"/>
      <c r="E10" s="140"/>
    </row>
    <row r="11" spans="1:9" x14ac:dyDescent="0.25">
      <c r="A11" s="21" t="s">
        <v>246</v>
      </c>
      <c r="B11" s="21"/>
      <c r="C11" s="15"/>
      <c r="D11" s="15"/>
      <c r="E11" s="140"/>
    </row>
    <row r="12" spans="1:9" x14ac:dyDescent="0.25">
      <c r="B12" s="16"/>
      <c r="C12" s="15"/>
      <c r="D12" s="15"/>
      <c r="E12" s="140"/>
    </row>
    <row r="13" spans="1:9" x14ac:dyDescent="0.25">
      <c r="A13" s="16" t="s">
        <v>247</v>
      </c>
      <c r="B13" s="16"/>
      <c r="C13" s="15">
        <v>0</v>
      </c>
      <c r="D13" s="15">
        <v>0</v>
      </c>
      <c r="E13" s="140">
        <f>D13*30/70</f>
        <v>0</v>
      </c>
      <c r="F13" s="141"/>
    </row>
    <row r="14" spans="1:9" x14ac:dyDescent="0.25">
      <c r="A14" s="16" t="s">
        <v>247</v>
      </c>
      <c r="B14" s="16"/>
      <c r="C14" s="15"/>
      <c r="D14" s="15"/>
      <c r="E14" s="140">
        <f>D14*30/70</f>
        <v>0</v>
      </c>
    </row>
    <row r="15" spans="1:9" x14ac:dyDescent="0.25">
      <c r="A15" s="16" t="s">
        <v>101</v>
      </c>
      <c r="B15" s="16"/>
      <c r="C15" s="25">
        <f>SUM(C13:C14)</f>
        <v>0</v>
      </c>
      <c r="D15" s="25">
        <f>SUM(D13:D14)</f>
        <v>0</v>
      </c>
      <c r="E15" s="142">
        <f>SUM(E13:E14)</f>
        <v>0</v>
      </c>
    </row>
    <row r="16" spans="1:9" x14ac:dyDescent="0.25">
      <c r="B16" s="16"/>
      <c r="C16" s="15"/>
      <c r="D16" s="15"/>
      <c r="E16" s="140"/>
    </row>
    <row r="17" spans="1:17" x14ac:dyDescent="0.25">
      <c r="A17" s="16" t="s">
        <v>247</v>
      </c>
      <c r="B17" s="16"/>
      <c r="C17" s="15">
        <v>0</v>
      </c>
      <c r="D17" s="15"/>
      <c r="E17" s="140">
        <f>D17*30/70</f>
        <v>0</v>
      </c>
      <c r="F17" s="141"/>
    </row>
    <row r="18" spans="1:17" x14ac:dyDescent="0.25">
      <c r="A18" s="16" t="s">
        <v>247</v>
      </c>
      <c r="B18" s="16"/>
      <c r="C18" s="15"/>
      <c r="D18" s="31"/>
      <c r="E18" s="140">
        <f>D18*30/70</f>
        <v>0</v>
      </c>
      <c r="F18" s="141"/>
    </row>
    <row r="19" spans="1:17" x14ac:dyDescent="0.25">
      <c r="B19" s="16"/>
      <c r="C19" s="32"/>
      <c r="D19" s="15"/>
      <c r="E19" s="140">
        <f>D19*30/70</f>
        <v>0</v>
      </c>
    </row>
    <row r="20" spans="1:17" x14ac:dyDescent="0.25">
      <c r="A20" s="16" t="s">
        <v>101</v>
      </c>
      <c r="B20" s="16"/>
      <c r="C20" s="25">
        <f>SUM(C17:C18)</f>
        <v>0</v>
      </c>
      <c r="D20" s="25">
        <f>SUM(D17:D18)</f>
        <v>0</v>
      </c>
      <c r="E20" s="142">
        <f>SUM(E17:E18)</f>
        <v>0</v>
      </c>
    </row>
    <row r="21" spans="1:17" x14ac:dyDescent="0.25">
      <c r="B21" s="16"/>
      <c r="C21" s="15"/>
      <c r="D21" s="15"/>
      <c r="E21" s="140"/>
    </row>
    <row r="22" spans="1:17" x14ac:dyDescent="0.25">
      <c r="A22" s="16" t="s">
        <v>247</v>
      </c>
      <c r="B22" s="16"/>
      <c r="C22" s="15"/>
      <c r="D22" s="15"/>
      <c r="E22" s="140">
        <f>D22*30/70</f>
        <v>0</v>
      </c>
      <c r="F22" s="141"/>
    </row>
    <row r="23" spans="1:17" x14ac:dyDescent="0.25">
      <c r="A23" s="16" t="s">
        <v>247</v>
      </c>
      <c r="B23" s="16"/>
      <c r="C23" s="15"/>
      <c r="D23" s="15"/>
      <c r="E23" s="140">
        <f>D23*30/70</f>
        <v>0</v>
      </c>
      <c r="F23" s="141"/>
      <c r="O23" s="23"/>
      <c r="P23" s="23"/>
      <c r="Q23" s="23"/>
    </row>
    <row r="24" spans="1:17" x14ac:dyDescent="0.25">
      <c r="B24" s="16"/>
      <c r="C24" s="15"/>
      <c r="D24" s="15"/>
      <c r="E24" s="140">
        <f>D24*30/70</f>
        <v>0</v>
      </c>
    </row>
    <row r="25" spans="1:17" x14ac:dyDescent="0.25">
      <c r="A25" s="16" t="s">
        <v>101</v>
      </c>
      <c r="B25" s="16"/>
      <c r="C25" s="25">
        <f>SUM(C22:C23)</f>
        <v>0</v>
      </c>
      <c r="D25" s="25">
        <f>SUM(D22:D23)</f>
        <v>0</v>
      </c>
      <c r="E25" s="142">
        <f>SUM(E22:E23)</f>
        <v>0</v>
      </c>
    </row>
    <row r="26" spans="1:17" x14ac:dyDescent="0.25">
      <c r="A26" s="10"/>
      <c r="B26" s="10"/>
      <c r="C26" s="23"/>
      <c r="D26" s="23"/>
      <c r="E26" s="140"/>
    </row>
    <row r="27" spans="1:17" x14ac:dyDescent="0.25">
      <c r="B27" s="16"/>
      <c r="C27" s="23"/>
      <c r="D27" s="15"/>
      <c r="E27" s="140">
        <f>D27*30/70</f>
        <v>0</v>
      </c>
    </row>
    <row r="28" spans="1:17" x14ac:dyDescent="0.25">
      <c r="A28" s="16" t="s">
        <v>247</v>
      </c>
      <c r="B28" s="16"/>
      <c r="C28" s="15"/>
      <c r="D28" s="15"/>
      <c r="E28" s="140">
        <f>D28*30/70</f>
        <v>0</v>
      </c>
      <c r="F28" s="141"/>
    </row>
    <row r="29" spans="1:17" x14ac:dyDescent="0.25">
      <c r="A29" s="16" t="s">
        <v>247</v>
      </c>
      <c r="B29" s="16"/>
      <c r="C29" s="15"/>
      <c r="D29" s="15"/>
      <c r="E29" s="140">
        <f>D29*30/70</f>
        <v>0</v>
      </c>
      <c r="F29" s="141"/>
    </row>
    <row r="30" spans="1:17" x14ac:dyDescent="0.25">
      <c r="B30" s="16"/>
      <c r="C30" s="15"/>
      <c r="D30" s="15"/>
      <c r="E30" s="140">
        <f>D30*30/70</f>
        <v>0</v>
      </c>
    </row>
    <row r="31" spans="1:17" x14ac:dyDescent="0.25">
      <c r="A31" s="16" t="s">
        <v>101</v>
      </c>
      <c r="B31" s="16"/>
      <c r="C31" s="25">
        <f>SUM(C28:C29)</f>
        <v>0</v>
      </c>
      <c r="D31" s="25">
        <f>SUM(D28:D29)</f>
        <v>0</v>
      </c>
      <c r="E31" s="142">
        <f>SUM(E28:E29)</f>
        <v>0</v>
      </c>
    </row>
    <row r="32" spans="1:17" x14ac:dyDescent="0.25">
      <c r="B32" s="16"/>
      <c r="C32" s="15"/>
      <c r="D32" s="15"/>
      <c r="E32" s="140"/>
    </row>
    <row r="33" spans="1:6" x14ac:dyDescent="0.25">
      <c r="A33" s="16" t="s">
        <v>247</v>
      </c>
      <c r="B33" s="16"/>
      <c r="C33" s="15"/>
      <c r="D33" s="15"/>
      <c r="E33" s="140">
        <f>D33*30/70</f>
        <v>0</v>
      </c>
      <c r="F33" s="141"/>
    </row>
    <row r="34" spans="1:6" x14ac:dyDescent="0.25">
      <c r="A34" s="16" t="s">
        <v>247</v>
      </c>
      <c r="B34" s="16"/>
      <c r="C34" s="15"/>
      <c r="D34" s="15"/>
      <c r="E34" s="140">
        <f>D34*30/70</f>
        <v>0</v>
      </c>
      <c r="F34" s="141"/>
    </row>
    <row r="35" spans="1:6" x14ac:dyDescent="0.25">
      <c r="B35" s="16"/>
      <c r="C35" s="15"/>
      <c r="D35" s="15"/>
      <c r="E35" s="140">
        <f>D35*30/70</f>
        <v>0</v>
      </c>
    </row>
    <row r="36" spans="1:6" x14ac:dyDescent="0.25">
      <c r="A36" s="16" t="s">
        <v>101</v>
      </c>
      <c r="B36" s="16"/>
      <c r="C36" s="25">
        <f>SUM(C33:C34)</f>
        <v>0</v>
      </c>
      <c r="D36" s="25">
        <f>SUM(D33:D34)</f>
        <v>0</v>
      </c>
      <c r="E36" s="142">
        <f>SUM(E33:E34)</f>
        <v>0</v>
      </c>
    </row>
    <row r="38" spans="1:6" x14ac:dyDescent="0.25">
      <c r="A38" s="16" t="s">
        <v>247</v>
      </c>
      <c r="B38" s="16"/>
      <c r="C38" s="15"/>
      <c r="D38" s="15"/>
      <c r="E38" s="140">
        <f>D38*30/70</f>
        <v>0</v>
      </c>
    </row>
    <row r="39" spans="1:6" x14ac:dyDescent="0.25">
      <c r="A39" s="16" t="s">
        <v>247</v>
      </c>
      <c r="B39" s="16"/>
      <c r="C39" s="15"/>
      <c r="D39" s="15"/>
      <c r="E39" s="140">
        <f>D39*30/70</f>
        <v>0</v>
      </c>
    </row>
    <row r="40" spans="1:6" x14ac:dyDescent="0.25">
      <c r="B40" s="16"/>
      <c r="C40" s="15"/>
      <c r="D40" s="15"/>
      <c r="E40" s="140">
        <f>D40*30/70</f>
        <v>0</v>
      </c>
    </row>
    <row r="41" spans="1:6" x14ac:dyDescent="0.25">
      <c r="A41" s="16" t="s">
        <v>101</v>
      </c>
      <c r="B41" s="16"/>
      <c r="C41" s="25">
        <f>SUM(C38:C39)</f>
        <v>0</v>
      </c>
      <c r="D41" s="25">
        <f>SUM(D38:D39)</f>
        <v>0</v>
      </c>
      <c r="E41" s="142">
        <f>SUM(E38:E39)</f>
        <v>0</v>
      </c>
    </row>
    <row r="43" spans="1:6" x14ac:dyDescent="0.25">
      <c r="B43" s="16"/>
      <c r="C43" s="23"/>
      <c r="D43" s="15"/>
      <c r="E43" s="140">
        <f>D43*30/70</f>
        <v>0</v>
      </c>
    </row>
    <row r="44" spans="1:6" x14ac:dyDescent="0.25">
      <c r="A44" s="16" t="s">
        <v>247</v>
      </c>
      <c r="B44" s="16"/>
      <c r="C44" s="15"/>
      <c r="D44" s="15"/>
      <c r="E44" s="140">
        <f>D44*30/70</f>
        <v>0</v>
      </c>
    </row>
    <row r="45" spans="1:6" x14ac:dyDescent="0.25">
      <c r="A45" s="16" t="s">
        <v>247</v>
      </c>
      <c r="B45" s="16"/>
      <c r="C45" s="15"/>
      <c r="D45" s="15"/>
      <c r="E45" s="140">
        <f>D45*30/70</f>
        <v>0</v>
      </c>
    </row>
    <row r="46" spans="1:6" x14ac:dyDescent="0.25">
      <c r="B46" s="16"/>
      <c r="C46" s="15"/>
      <c r="D46" s="15"/>
      <c r="E46" s="140">
        <f>D46*30/70</f>
        <v>0</v>
      </c>
    </row>
    <row r="47" spans="1:6" x14ac:dyDescent="0.25">
      <c r="A47" s="16" t="s">
        <v>101</v>
      </c>
      <c r="B47" s="16"/>
      <c r="C47" s="25">
        <f>SUM(C44:C45)</f>
        <v>0</v>
      </c>
      <c r="D47" s="25">
        <f>SUM(D44:D45)</f>
        <v>0</v>
      </c>
      <c r="E47" s="142">
        <f>SUM(E44:E45)</f>
        <v>0</v>
      </c>
    </row>
    <row r="48" spans="1:6" x14ac:dyDescent="0.25">
      <c r="B48" s="16"/>
      <c r="C48" s="15"/>
      <c r="D48" s="15"/>
      <c r="E48" s="140">
        <f>D48*30/70</f>
        <v>0</v>
      </c>
    </row>
    <row r="50" spans="1:5" x14ac:dyDescent="0.25">
      <c r="A50" s="16" t="s">
        <v>248</v>
      </c>
      <c r="B50" s="16"/>
      <c r="C50" s="33">
        <f>SUM(C15,C20,C25,C31,C36,C41,C47)</f>
        <v>0</v>
      </c>
      <c r="D50" s="33">
        <f>SUM(D15,D20,D25,D31,D36,D41,D47)</f>
        <v>0</v>
      </c>
      <c r="E50" s="143">
        <f>SUM(E15,E20,E25,E31,E36,E41,E47)</f>
        <v>0</v>
      </c>
    </row>
    <row r="51" spans="1:5" x14ac:dyDescent="0.25">
      <c r="A51" s="29" t="s">
        <v>249</v>
      </c>
      <c r="B51" s="29"/>
      <c r="C51" s="28">
        <f>'Dividend Summary Joint'!C26</f>
        <v>0</v>
      </c>
      <c r="D51" s="28">
        <f>'Dividend Summary Joint'!D26</f>
        <v>0</v>
      </c>
      <c r="E51" s="140">
        <f>'Dividend Summary Joint'!E26</f>
        <v>0</v>
      </c>
    </row>
    <row r="52" spans="1:5" ht="15.75" thickBot="1" x14ac:dyDescent="0.3">
      <c r="A52" s="16" t="s">
        <v>248</v>
      </c>
      <c r="B52" s="29"/>
      <c r="C52" s="34">
        <f>SUM(C50:C51)</f>
        <v>0</v>
      </c>
      <c r="D52" s="34">
        <f>SUM(D50:D51)</f>
        <v>0</v>
      </c>
      <c r="E52" s="144">
        <f>SUM(E50:E51)</f>
        <v>0</v>
      </c>
    </row>
    <row r="53" spans="1:5" ht="15.75" thickTop="1" x14ac:dyDescent="0.25">
      <c r="B53" s="29"/>
      <c r="C53" s="27"/>
      <c r="D53" s="27"/>
      <c r="E53" s="140"/>
    </row>
    <row r="54" spans="1:5" x14ac:dyDescent="0.25">
      <c r="B54" s="29"/>
      <c r="C54" s="27"/>
      <c r="D54" s="27"/>
      <c r="E54" s="140"/>
    </row>
    <row r="55" spans="1:5" x14ac:dyDescent="0.25">
      <c r="A55" s="16" t="s">
        <v>250</v>
      </c>
      <c r="B55" s="16"/>
    </row>
  </sheetData>
  <mergeCells count="1">
    <mergeCell ref="A1:D1"/>
  </mergeCells>
  <printOptions horizontalCentered="1" headings="1"/>
  <pageMargins left="0.55118110236220474" right="0.55118110236220474" top="0.78740157480314965" bottom="0.39370078740157483" header="0" footer="0.19685039370078741"/>
  <pageSetup paperSize="9" orientation="portrait" r:id="rId1"/>
  <headerFooter alignWithMargins="0">
    <oddFooter>&amp;L&amp;"Century Gothic,Regular"&amp;8&amp;Z&amp;F&amp;R&amp;"Century Gothic,Regular"&amp;8Page 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8">
    <tabColor theme="3"/>
  </sheetPr>
  <dimension ref="A1:D19"/>
  <sheetViews>
    <sheetView zoomScale="85" zoomScaleNormal="85" workbookViewId="0">
      <selection sqref="A1:D1"/>
    </sheetView>
  </sheetViews>
  <sheetFormatPr defaultColWidth="9.140625" defaultRowHeight="15" x14ac:dyDescent="0.25"/>
  <cols>
    <col min="1" max="1" width="25.85546875" style="66" customWidth="1"/>
    <col min="2" max="2" width="20.140625" style="66" customWidth="1"/>
    <col min="3" max="3" width="33.140625" style="66" customWidth="1"/>
    <col min="4" max="16384" width="9.140625" style="66"/>
  </cols>
  <sheetData>
    <row r="1" spans="1:4" s="105" customFormat="1" ht="21" x14ac:dyDescent="0.35">
      <c r="A1" s="552" t="s">
        <v>4</v>
      </c>
      <c r="B1" s="552"/>
      <c r="C1" s="552"/>
      <c r="D1" s="552"/>
    </row>
    <row r="2" spans="1:4" s="105" customFormat="1" x14ac:dyDescent="0.25"/>
    <row r="3" spans="1:4" s="105" customFormat="1" ht="15.75" x14ac:dyDescent="0.25">
      <c r="A3" s="106" t="s">
        <v>0</v>
      </c>
      <c r="B3" s="108">
        <f>'Summary - 1 Client name '!C3</f>
        <v>0</v>
      </c>
      <c r="D3" s="107"/>
    </row>
    <row r="4" spans="1:4" s="105" customFormat="1" ht="15.75" x14ac:dyDescent="0.25">
      <c r="A4" s="106" t="s">
        <v>1</v>
      </c>
      <c r="B4" s="109">
        <f>'Summary - 1 Client name '!C4</f>
        <v>46203</v>
      </c>
      <c r="D4" s="106"/>
    </row>
    <row r="5" spans="1:4" s="105" customFormat="1" ht="15.75" x14ac:dyDescent="0.25">
      <c r="A5" s="106" t="s">
        <v>2</v>
      </c>
      <c r="B5" s="106" t="s">
        <v>198</v>
      </c>
      <c r="D5" s="107"/>
    </row>
    <row r="7" spans="1:4" ht="15.75" x14ac:dyDescent="0.25">
      <c r="D7" s="92"/>
    </row>
    <row r="8" spans="1:4" ht="15.75" x14ac:dyDescent="0.25">
      <c r="A8" s="90" t="s">
        <v>251</v>
      </c>
      <c r="B8" s="97" t="s">
        <v>141</v>
      </c>
    </row>
    <row r="9" spans="1:4" x14ac:dyDescent="0.25">
      <c r="A9" s="119"/>
      <c r="B9" s="122">
        <v>0</v>
      </c>
    </row>
    <row r="10" spans="1:4" x14ac:dyDescent="0.25">
      <c r="A10" s="120"/>
      <c r="B10" s="122"/>
    </row>
    <row r="11" spans="1:4" x14ac:dyDescent="0.25">
      <c r="A11" s="120"/>
      <c r="B11" s="122"/>
    </row>
    <row r="12" spans="1:4" x14ac:dyDescent="0.25">
      <c r="A12" s="120"/>
      <c r="B12" s="122"/>
    </row>
    <row r="13" spans="1:4" x14ac:dyDescent="0.25">
      <c r="A13" s="120"/>
      <c r="B13" s="122"/>
    </row>
    <row r="14" spans="1:4" x14ac:dyDescent="0.25">
      <c r="A14" s="120"/>
      <c r="B14" s="122"/>
    </row>
    <row r="15" spans="1:4" x14ac:dyDescent="0.25">
      <c r="A15" s="120"/>
      <c r="B15" s="122"/>
    </row>
    <row r="16" spans="1:4" x14ac:dyDescent="0.25">
      <c r="A16" s="120"/>
      <c r="B16" s="122"/>
    </row>
    <row r="17" spans="1:2" x14ac:dyDescent="0.25">
      <c r="A17" s="120"/>
      <c r="B17" s="122"/>
    </row>
    <row r="18" spans="1:2" ht="15.75" thickBot="1" x14ac:dyDescent="0.3">
      <c r="A18" s="121" t="s">
        <v>252</v>
      </c>
      <c r="B18" s="123">
        <f>SUM(B9:B17)</f>
        <v>0</v>
      </c>
    </row>
    <row r="19" spans="1:2" ht="15.75" thickTop="1" x14ac:dyDescent="0.25">
      <c r="A19" s="93"/>
      <c r="B19" s="93"/>
    </row>
  </sheetData>
  <mergeCells count="1">
    <mergeCell ref="A1:D1"/>
  </mergeCells>
  <pageMargins left="0.7" right="0.7" top="0.75" bottom="0.75" header="0.3" footer="0.3"/>
  <pageSetup paperSize="9" orientation="portrait" r:id="rId1"/>
  <headerFooter>
    <oddFooter>&amp;L&amp;I&amp;10&amp;"Arial"Reference Number: 110928_1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>
    <pageSetUpPr fitToPage="1"/>
  </sheetPr>
  <dimension ref="A1:M72"/>
  <sheetViews>
    <sheetView zoomScale="85" zoomScaleNormal="85" zoomScaleSheetLayoutView="85" workbookViewId="0">
      <selection sqref="A1:D1"/>
    </sheetView>
  </sheetViews>
  <sheetFormatPr defaultColWidth="9.140625" defaultRowHeight="15" x14ac:dyDescent="0.25"/>
  <cols>
    <col min="1" max="1" width="22.28515625" style="16" customWidth="1"/>
    <col min="2" max="2" width="11.5703125" style="16" customWidth="1"/>
    <col min="3" max="3" width="12.85546875" style="16" bestFit="1" customWidth="1"/>
    <col min="4" max="4" width="0.85546875" style="16" customWidth="1"/>
    <col min="5" max="5" width="12" style="16" customWidth="1"/>
    <col min="6" max="6" width="13.140625" style="16" bestFit="1" customWidth="1"/>
    <col min="7" max="7" width="0.85546875" style="16" customWidth="1"/>
    <col min="8" max="8" width="11.42578125" style="16" customWidth="1"/>
    <col min="9" max="9" width="13.7109375" style="16" customWidth="1"/>
    <col min="10" max="10" width="12.42578125" style="16" customWidth="1"/>
    <col min="11" max="11" width="11.7109375" style="16" customWidth="1"/>
    <col min="12" max="12" width="11.42578125" style="16" customWidth="1"/>
    <col min="13" max="13" width="26.42578125" style="16" customWidth="1"/>
    <col min="14" max="16384" width="9.140625" style="16"/>
  </cols>
  <sheetData>
    <row r="1" spans="1:13" ht="21" x14ac:dyDescent="0.35">
      <c r="A1" s="552" t="s">
        <v>4</v>
      </c>
      <c r="B1" s="552"/>
      <c r="C1" s="552"/>
      <c r="D1" s="552"/>
    </row>
    <row r="2" spans="1:13" x14ac:dyDescent="0.25">
      <c r="A2" s="105"/>
      <c r="B2" s="105"/>
      <c r="C2" s="105"/>
      <c r="D2" s="105"/>
    </row>
    <row r="3" spans="1:13" ht="15.75" x14ac:dyDescent="0.25">
      <c r="A3" s="106" t="s">
        <v>0</v>
      </c>
      <c r="B3" s="108">
        <f>'Summary - 1 Client name '!C3</f>
        <v>0</v>
      </c>
      <c r="C3" s="107"/>
      <c r="D3" s="112"/>
    </row>
    <row r="4" spans="1:13" ht="15.75" x14ac:dyDescent="0.25">
      <c r="A4" s="106" t="s">
        <v>1</v>
      </c>
      <c r="B4" s="109">
        <f>'Summary - 1 Client name '!C4</f>
        <v>46203</v>
      </c>
      <c r="C4" s="106"/>
      <c r="D4" s="132"/>
    </row>
    <row r="5" spans="1:13" ht="15.75" x14ac:dyDescent="0.25">
      <c r="A5" s="106" t="s">
        <v>2</v>
      </c>
      <c r="B5" s="106" t="s">
        <v>254</v>
      </c>
      <c r="C5" s="107"/>
      <c r="D5" s="111"/>
      <c r="E5" s="1"/>
      <c r="F5" s="1"/>
      <c r="G5" s="1"/>
      <c r="H5" s="1"/>
      <c r="I5" s="1"/>
    </row>
    <row r="6" spans="1:13" x14ac:dyDescent="0.25">
      <c r="A6" s="2"/>
      <c r="B6" s="3"/>
      <c r="C6" s="4"/>
      <c r="D6" s="4"/>
      <c r="E6" s="4"/>
      <c r="F6" s="4"/>
      <c r="G6" s="4"/>
      <c r="H6" s="4"/>
      <c r="I6" s="4"/>
    </row>
    <row r="7" spans="1:13" x14ac:dyDescent="0.25">
      <c r="A7" s="5"/>
      <c r="B7" s="6"/>
      <c r="C7" s="4"/>
      <c r="D7" s="4"/>
      <c r="E7" s="4"/>
      <c r="F7" s="4"/>
      <c r="G7" s="4"/>
      <c r="H7" s="4"/>
      <c r="I7" s="4"/>
    </row>
    <row r="8" spans="1:13" x14ac:dyDescent="0.25">
      <c r="A8" s="39"/>
      <c r="B8" s="40"/>
      <c r="C8" s="38"/>
      <c r="E8" s="38"/>
      <c r="F8" s="38"/>
      <c r="H8" s="40"/>
      <c r="I8" s="38"/>
    </row>
    <row r="9" spans="1:13" x14ac:dyDescent="0.25">
      <c r="A9" s="558" t="s">
        <v>247</v>
      </c>
      <c r="B9" s="558"/>
      <c r="C9" s="558"/>
      <c r="D9" s="558"/>
      <c r="E9" s="558"/>
      <c r="F9" s="558"/>
      <c r="G9" s="558"/>
      <c r="H9" s="558"/>
      <c r="I9" s="558"/>
    </row>
    <row r="10" spans="1:13" x14ac:dyDescent="0.25">
      <c r="A10" s="39"/>
      <c r="B10" s="40"/>
      <c r="C10" s="38"/>
      <c r="E10" s="38"/>
      <c r="F10" s="38"/>
      <c r="H10" s="38"/>
      <c r="I10" s="38"/>
    </row>
    <row r="11" spans="1:13" x14ac:dyDescent="0.25">
      <c r="A11" s="41" t="s">
        <v>255</v>
      </c>
      <c r="B11" s="42" t="s">
        <v>256</v>
      </c>
      <c r="C11" s="37" t="s">
        <v>257</v>
      </c>
      <c r="D11" s="8"/>
      <c r="E11" s="37" t="s">
        <v>258</v>
      </c>
      <c r="F11" s="37" t="s">
        <v>259</v>
      </c>
      <c r="G11" s="8"/>
      <c r="H11" s="557" t="s">
        <v>260</v>
      </c>
      <c r="I11" s="557"/>
      <c r="J11" s="10" t="s">
        <v>261</v>
      </c>
      <c r="K11" s="10" t="s">
        <v>262</v>
      </c>
      <c r="L11" s="10" t="s">
        <v>263</v>
      </c>
      <c r="M11" s="10" t="s">
        <v>264</v>
      </c>
    </row>
    <row r="12" spans="1:13" x14ac:dyDescent="0.25">
      <c r="A12" s="41" t="s">
        <v>265</v>
      </c>
      <c r="B12" s="42" t="s">
        <v>266</v>
      </c>
      <c r="C12" s="37" t="s">
        <v>266</v>
      </c>
      <c r="D12" s="8"/>
      <c r="E12" s="37" t="s">
        <v>267</v>
      </c>
      <c r="F12" s="37" t="s">
        <v>258</v>
      </c>
      <c r="G12" s="8"/>
      <c r="H12" s="37" t="s">
        <v>266</v>
      </c>
      <c r="I12" s="37" t="s">
        <v>257</v>
      </c>
      <c r="J12" s="10" t="s">
        <v>268</v>
      </c>
      <c r="K12" s="10" t="s">
        <v>269</v>
      </c>
      <c r="L12" s="10" t="s">
        <v>266</v>
      </c>
    </row>
    <row r="13" spans="1:13" x14ac:dyDescent="0.25">
      <c r="A13" s="39"/>
      <c r="B13" s="40"/>
      <c r="C13" s="38"/>
      <c r="E13" s="38"/>
      <c r="F13" s="38"/>
      <c r="H13" s="38"/>
      <c r="I13" s="38"/>
    </row>
    <row r="14" spans="1:13" x14ac:dyDescent="0.25">
      <c r="A14" s="39"/>
      <c r="B14" s="40"/>
      <c r="C14" s="38"/>
      <c r="E14" s="38"/>
      <c r="F14" s="38">
        <f t="shared" ref="F14:F21" si="0">IF(E14=0,0,C14+E14)</f>
        <v>0</v>
      </c>
      <c r="H14" s="40">
        <f t="shared" ref="H14:H21" si="1">H13+B14</f>
        <v>0</v>
      </c>
      <c r="I14" s="38">
        <f t="shared" ref="I14:I21" si="2">I13+C14</f>
        <v>0</v>
      </c>
    </row>
    <row r="15" spans="1:13" x14ac:dyDescent="0.25">
      <c r="A15" s="39"/>
      <c r="B15" s="40"/>
      <c r="C15" s="38"/>
      <c r="E15" s="38"/>
      <c r="F15" s="38">
        <f t="shared" si="0"/>
        <v>0</v>
      </c>
      <c r="H15" s="40">
        <f t="shared" si="1"/>
        <v>0</v>
      </c>
      <c r="I15" s="38">
        <f t="shared" si="2"/>
        <v>0</v>
      </c>
    </row>
    <row r="16" spans="1:13" x14ac:dyDescent="0.25">
      <c r="A16" s="39"/>
      <c r="B16" s="40"/>
      <c r="C16" s="38"/>
      <c r="E16" s="38"/>
      <c r="F16" s="38">
        <f t="shared" si="0"/>
        <v>0</v>
      </c>
      <c r="H16" s="40">
        <f t="shared" si="1"/>
        <v>0</v>
      </c>
      <c r="I16" s="38">
        <f t="shared" si="2"/>
        <v>0</v>
      </c>
    </row>
    <row r="17" spans="1:9" x14ac:dyDescent="0.25">
      <c r="A17" s="39"/>
      <c r="B17" s="40"/>
      <c r="C17" s="38"/>
      <c r="E17" s="38"/>
      <c r="F17" s="38">
        <f t="shared" si="0"/>
        <v>0</v>
      </c>
      <c r="H17" s="40">
        <f t="shared" si="1"/>
        <v>0</v>
      </c>
      <c r="I17" s="38">
        <f t="shared" si="2"/>
        <v>0</v>
      </c>
    </row>
    <row r="18" spans="1:9" x14ac:dyDescent="0.25">
      <c r="F18" s="38">
        <f t="shared" si="0"/>
        <v>0</v>
      </c>
      <c r="H18" s="40">
        <f t="shared" si="1"/>
        <v>0</v>
      </c>
      <c r="I18" s="38">
        <f t="shared" si="2"/>
        <v>0</v>
      </c>
    </row>
    <row r="19" spans="1:9" x14ac:dyDescent="0.25">
      <c r="F19" s="38">
        <f t="shared" si="0"/>
        <v>0</v>
      </c>
      <c r="H19" s="40">
        <f t="shared" si="1"/>
        <v>0</v>
      </c>
      <c r="I19" s="38">
        <f t="shared" si="2"/>
        <v>0</v>
      </c>
    </row>
    <row r="20" spans="1:9" x14ac:dyDescent="0.25">
      <c r="F20" s="38">
        <f t="shared" si="0"/>
        <v>0</v>
      </c>
      <c r="H20" s="40">
        <f t="shared" si="1"/>
        <v>0</v>
      </c>
      <c r="I20" s="38">
        <f t="shared" si="2"/>
        <v>0</v>
      </c>
    </row>
    <row r="21" spans="1:9" x14ac:dyDescent="0.25">
      <c r="F21" s="38">
        <f t="shared" si="0"/>
        <v>0</v>
      </c>
      <c r="H21" s="40">
        <f t="shared" si="1"/>
        <v>0</v>
      </c>
      <c r="I21" s="38">
        <f t="shared" si="2"/>
        <v>0</v>
      </c>
    </row>
    <row r="24" spans="1:9" x14ac:dyDescent="0.25">
      <c r="A24" s="558" t="s">
        <v>247</v>
      </c>
      <c r="B24" s="558"/>
      <c r="C24" s="558"/>
      <c r="D24" s="558"/>
      <c r="E24" s="558"/>
      <c r="F24" s="558"/>
      <c r="G24" s="558"/>
      <c r="H24" s="558"/>
      <c r="I24" s="558"/>
    </row>
    <row r="25" spans="1:9" x14ac:dyDescent="0.25">
      <c r="A25" s="39"/>
      <c r="B25" s="40"/>
      <c r="C25" s="38"/>
      <c r="E25" s="38"/>
      <c r="F25" s="38"/>
      <c r="H25" s="38"/>
      <c r="I25" s="38"/>
    </row>
    <row r="26" spans="1:9" x14ac:dyDescent="0.25">
      <c r="A26" s="41" t="s">
        <v>255</v>
      </c>
      <c r="B26" s="42" t="s">
        <v>256</v>
      </c>
      <c r="C26" s="37" t="s">
        <v>257</v>
      </c>
      <c r="D26" s="8"/>
      <c r="E26" s="37" t="s">
        <v>258</v>
      </c>
      <c r="F26" s="37" t="s">
        <v>259</v>
      </c>
      <c r="G26" s="8"/>
      <c r="H26" s="557" t="s">
        <v>260</v>
      </c>
      <c r="I26" s="557"/>
    </row>
    <row r="27" spans="1:9" x14ac:dyDescent="0.25">
      <c r="A27" s="41" t="s">
        <v>265</v>
      </c>
      <c r="B27" s="42" t="s">
        <v>266</v>
      </c>
      <c r="C27" s="37" t="s">
        <v>266</v>
      </c>
      <c r="D27" s="8"/>
      <c r="E27" s="37" t="s">
        <v>267</v>
      </c>
      <c r="F27" s="37" t="s">
        <v>258</v>
      </c>
      <c r="G27" s="8"/>
      <c r="H27" s="37" t="s">
        <v>266</v>
      </c>
      <c r="I27" s="37" t="s">
        <v>257</v>
      </c>
    </row>
    <row r="28" spans="1:9" x14ac:dyDescent="0.25">
      <c r="A28" s="39"/>
      <c r="B28" s="40"/>
      <c r="C28" s="38"/>
      <c r="E28" s="38"/>
      <c r="F28" s="38"/>
      <c r="H28" s="38"/>
      <c r="I28" s="38"/>
    </row>
    <row r="29" spans="1:9" x14ac:dyDescent="0.25">
      <c r="A29" s="39"/>
      <c r="B29" s="40"/>
      <c r="C29" s="38"/>
      <c r="E29" s="38"/>
      <c r="F29" s="38">
        <f t="shared" ref="F29:F36" si="3">IF(E29=0,0,C29+E29)</f>
        <v>0</v>
      </c>
      <c r="H29" s="40">
        <f t="shared" ref="H29:H36" si="4">H28+B29</f>
        <v>0</v>
      </c>
      <c r="I29" s="38">
        <f t="shared" ref="I29:I36" si="5">I28+C29</f>
        <v>0</v>
      </c>
    </row>
    <row r="30" spans="1:9" x14ac:dyDescent="0.25">
      <c r="A30" s="39"/>
      <c r="B30" s="40"/>
      <c r="C30" s="38"/>
      <c r="E30" s="38"/>
      <c r="F30" s="38">
        <f t="shared" si="3"/>
        <v>0</v>
      </c>
      <c r="H30" s="40">
        <f t="shared" si="4"/>
        <v>0</v>
      </c>
      <c r="I30" s="38">
        <f t="shared" si="5"/>
        <v>0</v>
      </c>
    </row>
    <row r="31" spans="1:9" x14ac:dyDescent="0.25">
      <c r="A31" s="39"/>
      <c r="B31" s="40"/>
      <c r="C31" s="38"/>
      <c r="E31" s="38"/>
      <c r="F31" s="38">
        <f t="shared" si="3"/>
        <v>0</v>
      </c>
      <c r="H31" s="40">
        <f t="shared" si="4"/>
        <v>0</v>
      </c>
      <c r="I31" s="38">
        <f t="shared" si="5"/>
        <v>0</v>
      </c>
    </row>
    <row r="32" spans="1:9" x14ac:dyDescent="0.25">
      <c r="A32" s="39"/>
      <c r="B32" s="40"/>
      <c r="C32" s="38"/>
      <c r="E32" s="38"/>
      <c r="F32" s="38">
        <f t="shared" si="3"/>
        <v>0</v>
      </c>
      <c r="H32" s="40">
        <f t="shared" si="4"/>
        <v>0</v>
      </c>
      <c r="I32" s="38">
        <f t="shared" si="5"/>
        <v>0</v>
      </c>
    </row>
    <row r="33" spans="1:9" x14ac:dyDescent="0.25">
      <c r="F33" s="38">
        <f t="shared" si="3"/>
        <v>0</v>
      </c>
      <c r="H33" s="40">
        <f t="shared" si="4"/>
        <v>0</v>
      </c>
      <c r="I33" s="38">
        <f t="shared" si="5"/>
        <v>0</v>
      </c>
    </row>
    <row r="34" spans="1:9" x14ac:dyDescent="0.25">
      <c r="F34" s="38">
        <f t="shared" si="3"/>
        <v>0</v>
      </c>
      <c r="H34" s="40">
        <f t="shared" si="4"/>
        <v>0</v>
      </c>
      <c r="I34" s="38">
        <f t="shared" si="5"/>
        <v>0</v>
      </c>
    </row>
    <row r="35" spans="1:9" x14ac:dyDescent="0.25">
      <c r="F35" s="38">
        <f t="shared" si="3"/>
        <v>0</v>
      </c>
      <c r="H35" s="40">
        <f t="shared" si="4"/>
        <v>0</v>
      </c>
      <c r="I35" s="38">
        <f t="shared" si="5"/>
        <v>0</v>
      </c>
    </row>
    <row r="36" spans="1:9" x14ac:dyDescent="0.25">
      <c r="F36" s="38">
        <f t="shared" si="3"/>
        <v>0</v>
      </c>
      <c r="H36" s="40">
        <f t="shared" si="4"/>
        <v>0</v>
      </c>
      <c r="I36" s="38">
        <f t="shared" si="5"/>
        <v>0</v>
      </c>
    </row>
    <row r="38" spans="1:9" x14ac:dyDescent="0.25">
      <c r="A38" s="39"/>
      <c r="B38" s="40"/>
      <c r="C38" s="38"/>
      <c r="E38" s="38"/>
      <c r="F38" s="38"/>
      <c r="H38" s="40"/>
      <c r="I38" s="38"/>
    </row>
    <row r="39" spans="1:9" x14ac:dyDescent="0.25">
      <c r="A39" s="558" t="s">
        <v>247</v>
      </c>
      <c r="B39" s="558"/>
      <c r="C39" s="558"/>
      <c r="D39" s="558"/>
      <c r="E39" s="558"/>
      <c r="F39" s="558"/>
      <c r="G39" s="558"/>
      <c r="H39" s="558"/>
      <c r="I39" s="558"/>
    </row>
    <row r="40" spans="1:9" x14ac:dyDescent="0.25">
      <c r="A40" s="39"/>
      <c r="B40" s="40"/>
      <c r="C40" s="38"/>
      <c r="E40" s="38"/>
      <c r="F40" s="38"/>
      <c r="H40" s="38"/>
      <c r="I40" s="38"/>
    </row>
    <row r="41" spans="1:9" x14ac:dyDescent="0.25">
      <c r="A41" s="41" t="s">
        <v>255</v>
      </c>
      <c r="B41" s="42" t="s">
        <v>256</v>
      </c>
      <c r="C41" s="37" t="s">
        <v>257</v>
      </c>
      <c r="D41" s="8"/>
      <c r="E41" s="37" t="s">
        <v>258</v>
      </c>
      <c r="F41" s="37" t="s">
        <v>259</v>
      </c>
      <c r="G41" s="8"/>
      <c r="H41" s="557" t="s">
        <v>260</v>
      </c>
      <c r="I41" s="557"/>
    </row>
    <row r="42" spans="1:9" x14ac:dyDescent="0.25">
      <c r="A42" s="41" t="s">
        <v>265</v>
      </c>
      <c r="B42" s="42" t="s">
        <v>266</v>
      </c>
      <c r="C42" s="37" t="s">
        <v>266</v>
      </c>
      <c r="D42" s="8"/>
      <c r="E42" s="37" t="s">
        <v>267</v>
      </c>
      <c r="F42" s="37" t="s">
        <v>258</v>
      </c>
      <c r="G42" s="8"/>
      <c r="H42" s="37" t="s">
        <v>266</v>
      </c>
      <c r="I42" s="37" t="s">
        <v>257</v>
      </c>
    </row>
    <row r="43" spans="1:9" x14ac:dyDescent="0.25">
      <c r="A43" s="39"/>
      <c r="B43" s="40"/>
      <c r="C43" s="38"/>
      <c r="E43" s="38"/>
      <c r="F43" s="38"/>
      <c r="H43" s="38"/>
      <c r="I43" s="38"/>
    </row>
    <row r="44" spans="1:9" x14ac:dyDescent="0.25">
      <c r="A44" s="39"/>
      <c r="B44" s="40"/>
      <c r="C44" s="38"/>
      <c r="E44" s="38"/>
      <c r="F44" s="38">
        <f t="shared" ref="F44:F51" si="6">IF(E44=0,0,C44+E44)</f>
        <v>0</v>
      </c>
      <c r="H44" s="40">
        <f t="shared" ref="H44:H51" si="7">H43+B44</f>
        <v>0</v>
      </c>
      <c r="I44" s="38">
        <f t="shared" ref="I44:I51" si="8">I43+C44</f>
        <v>0</v>
      </c>
    </row>
    <row r="45" spans="1:9" x14ac:dyDescent="0.25">
      <c r="A45" s="39"/>
      <c r="B45" s="40"/>
      <c r="C45" s="38"/>
      <c r="E45" s="38"/>
      <c r="F45" s="38">
        <f t="shared" si="6"/>
        <v>0</v>
      </c>
      <c r="H45" s="40">
        <f t="shared" si="7"/>
        <v>0</v>
      </c>
      <c r="I45" s="38">
        <f t="shared" si="8"/>
        <v>0</v>
      </c>
    </row>
    <row r="46" spans="1:9" x14ac:dyDescent="0.25">
      <c r="A46" s="39"/>
      <c r="B46" s="40"/>
      <c r="C46" s="38"/>
      <c r="E46" s="38"/>
      <c r="F46" s="38">
        <f t="shared" si="6"/>
        <v>0</v>
      </c>
      <c r="H46" s="40">
        <f t="shared" si="7"/>
        <v>0</v>
      </c>
      <c r="I46" s="38">
        <f t="shared" si="8"/>
        <v>0</v>
      </c>
    </row>
    <row r="47" spans="1:9" x14ac:dyDescent="0.25">
      <c r="A47" s="39"/>
      <c r="B47" s="40"/>
      <c r="C47" s="38"/>
      <c r="E47" s="38"/>
      <c r="F47" s="38">
        <f t="shared" si="6"/>
        <v>0</v>
      </c>
      <c r="H47" s="40">
        <f t="shared" si="7"/>
        <v>0</v>
      </c>
      <c r="I47" s="38">
        <f t="shared" si="8"/>
        <v>0</v>
      </c>
    </row>
    <row r="48" spans="1:9" x14ac:dyDescent="0.25">
      <c r="F48" s="38">
        <f t="shared" si="6"/>
        <v>0</v>
      </c>
      <c r="H48" s="40">
        <f t="shared" si="7"/>
        <v>0</v>
      </c>
      <c r="I48" s="38">
        <f t="shared" si="8"/>
        <v>0</v>
      </c>
    </row>
    <row r="49" spans="1:12" x14ac:dyDescent="0.25">
      <c r="F49" s="38">
        <f t="shared" si="6"/>
        <v>0</v>
      </c>
      <c r="H49" s="40">
        <f t="shared" si="7"/>
        <v>0</v>
      </c>
      <c r="I49" s="38">
        <f t="shared" si="8"/>
        <v>0</v>
      </c>
    </row>
    <row r="50" spans="1:12" x14ac:dyDescent="0.25">
      <c r="F50" s="38">
        <f t="shared" si="6"/>
        <v>0</v>
      </c>
      <c r="H50" s="40">
        <f t="shared" si="7"/>
        <v>0</v>
      </c>
      <c r="I50" s="38">
        <f t="shared" si="8"/>
        <v>0</v>
      </c>
    </row>
    <row r="51" spans="1:12" x14ac:dyDescent="0.25">
      <c r="F51" s="38">
        <f t="shared" si="6"/>
        <v>0</v>
      </c>
      <c r="H51" s="40">
        <f t="shared" si="7"/>
        <v>0</v>
      </c>
      <c r="I51" s="38">
        <f t="shared" si="8"/>
        <v>0</v>
      </c>
    </row>
    <row r="58" spans="1:12" x14ac:dyDescent="0.25">
      <c r="A58" s="39"/>
      <c r="B58" s="40"/>
      <c r="C58" s="38"/>
      <c r="E58" s="38"/>
      <c r="F58" s="38"/>
      <c r="H58" s="40"/>
      <c r="I58" s="38"/>
    </row>
    <row r="59" spans="1:12" x14ac:dyDescent="0.25">
      <c r="A59" s="48" t="s">
        <v>270</v>
      </c>
      <c r="B59" s="49"/>
      <c r="C59" s="50"/>
      <c r="D59" s="51"/>
      <c r="E59" s="57"/>
      <c r="J59" s="58">
        <f>SUM(J14:J58)</f>
        <v>0</v>
      </c>
      <c r="K59" s="58">
        <f t="shared" ref="K59:L59" si="9">SUM(K14:K58)</f>
        <v>0</v>
      </c>
      <c r="L59" s="58">
        <f t="shared" si="9"/>
        <v>0</v>
      </c>
    </row>
    <row r="60" spans="1:12" x14ac:dyDescent="0.25">
      <c r="A60" s="52" t="s">
        <v>271</v>
      </c>
      <c r="B60" s="49"/>
      <c r="C60" s="53"/>
      <c r="D60" s="53">
        <f>E59</f>
        <v>0</v>
      </c>
      <c r="E60" s="50">
        <f>J59</f>
        <v>0</v>
      </c>
    </row>
    <row r="61" spans="1:12" x14ac:dyDescent="0.25">
      <c r="A61" s="52" t="s">
        <v>272</v>
      </c>
      <c r="B61" s="49"/>
      <c r="C61" s="53"/>
      <c r="D61" s="59"/>
      <c r="E61" s="50">
        <f>K59</f>
        <v>0</v>
      </c>
    </row>
    <row r="62" spans="1:12" x14ac:dyDescent="0.25">
      <c r="A62" s="52" t="s">
        <v>273</v>
      </c>
      <c r="B62" s="49"/>
      <c r="C62" s="53"/>
      <c r="D62" s="59"/>
      <c r="E62" s="61">
        <f>SUM(E60:E61)</f>
        <v>0</v>
      </c>
      <c r="F62" s="55" t="s">
        <v>274</v>
      </c>
    </row>
    <row r="63" spans="1:12" x14ac:dyDescent="0.25">
      <c r="A63" s="52"/>
      <c r="B63" s="49"/>
      <c r="C63" s="53"/>
      <c r="D63" s="59"/>
      <c r="E63" s="54"/>
    </row>
    <row r="64" spans="1:12" x14ac:dyDescent="0.25">
      <c r="A64" s="52" t="s">
        <v>275</v>
      </c>
      <c r="B64" s="49"/>
      <c r="C64" s="53"/>
      <c r="D64" s="59"/>
      <c r="E64" s="63">
        <f>L59</f>
        <v>0</v>
      </c>
    </row>
    <row r="65" spans="1:6" x14ac:dyDescent="0.25">
      <c r="A65" s="52" t="s">
        <v>276</v>
      </c>
      <c r="B65" s="49"/>
      <c r="C65" s="53"/>
      <c r="D65" s="59"/>
      <c r="E65" s="54"/>
    </row>
    <row r="66" spans="1:6" x14ac:dyDescent="0.25">
      <c r="A66" s="52"/>
      <c r="B66" s="49"/>
      <c r="C66" s="53"/>
      <c r="D66" s="59"/>
      <c r="E66" s="62">
        <f>SUM(E64:E65)</f>
        <v>0</v>
      </c>
    </row>
    <row r="67" spans="1:6" x14ac:dyDescent="0.25">
      <c r="A67" s="52"/>
      <c r="B67" s="49"/>
      <c r="C67" s="53"/>
      <c r="D67" s="59"/>
      <c r="E67" s="63"/>
    </row>
    <row r="68" spans="1:6" x14ac:dyDescent="0.25">
      <c r="A68" s="52" t="s">
        <v>277</v>
      </c>
      <c r="B68" s="49"/>
      <c r="C68" s="53"/>
      <c r="D68" s="59"/>
      <c r="E68" s="63">
        <f>E62-E66</f>
        <v>0</v>
      </c>
    </row>
    <row r="69" spans="1:6" x14ac:dyDescent="0.25">
      <c r="A69" s="52"/>
      <c r="B69" s="49"/>
      <c r="C69" s="53"/>
      <c r="D69" s="59"/>
      <c r="E69" s="63"/>
    </row>
    <row r="70" spans="1:6" x14ac:dyDescent="0.25">
      <c r="A70" s="52" t="s">
        <v>278</v>
      </c>
      <c r="B70" s="49"/>
      <c r="C70" s="53"/>
      <c r="D70" s="59"/>
      <c r="E70" s="63">
        <f>E68*0.5</f>
        <v>0</v>
      </c>
    </row>
    <row r="71" spans="1:6" x14ac:dyDescent="0.25">
      <c r="A71" s="52"/>
      <c r="B71" s="49"/>
      <c r="C71" s="53"/>
      <c r="D71" s="59"/>
      <c r="E71" s="63"/>
    </row>
    <row r="72" spans="1:6" x14ac:dyDescent="0.25">
      <c r="A72" s="56" t="s">
        <v>279</v>
      </c>
      <c r="B72" s="49"/>
      <c r="C72" s="53"/>
      <c r="D72" s="60"/>
      <c r="E72" s="12">
        <f>E68-E70</f>
        <v>0</v>
      </c>
      <c r="F72" s="55" t="s">
        <v>280</v>
      </c>
    </row>
  </sheetData>
  <mergeCells count="7">
    <mergeCell ref="A1:D1"/>
    <mergeCell ref="H26:I26"/>
    <mergeCell ref="A39:I39"/>
    <mergeCell ref="H41:I41"/>
    <mergeCell ref="A9:I9"/>
    <mergeCell ref="H11:I11"/>
    <mergeCell ref="A24:I24"/>
  </mergeCells>
  <printOptions headings="1"/>
  <pageMargins left="0.59055118110236227" right="0" top="0.78740157480314965" bottom="0.49" header="0.19685039370078741" footer="0.17"/>
  <pageSetup paperSize="9" scale="59" fitToHeight="0" orientation="portrait" horizontalDpi="300" verticalDpi="300" r:id="rId1"/>
  <headerFooter alignWithMargins="0">
    <oddFooter>&amp;L&amp;Z&amp;F&amp;R&amp;P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23"/>
  <dimension ref="A1:G40"/>
  <sheetViews>
    <sheetView zoomScale="85" zoomScaleNormal="85" workbookViewId="0">
      <selection activeCell="G15" sqref="G15"/>
    </sheetView>
  </sheetViews>
  <sheetFormatPr defaultColWidth="9.140625" defaultRowHeight="15" x14ac:dyDescent="0.25"/>
  <cols>
    <col min="1" max="1" width="44.85546875" style="16" customWidth="1"/>
    <col min="2" max="2" width="15.140625" style="16" customWidth="1"/>
    <col min="3" max="16384" width="9.140625" style="16"/>
  </cols>
  <sheetData>
    <row r="1" spans="1:7" s="1" customFormat="1" ht="21" x14ac:dyDescent="0.35">
      <c r="A1" s="552" t="s">
        <v>4</v>
      </c>
      <c r="B1" s="552"/>
      <c r="C1" s="552"/>
      <c r="D1" s="552"/>
    </row>
    <row r="2" spans="1:7" s="1" customFormat="1" x14ac:dyDescent="0.25">
      <c r="A2" s="105"/>
      <c r="B2" s="105"/>
      <c r="C2" s="105"/>
      <c r="D2" s="105"/>
      <c r="E2" s="4"/>
      <c r="F2" s="4"/>
      <c r="G2" s="4"/>
    </row>
    <row r="3" spans="1:7" s="1" customFormat="1" ht="15.75" x14ac:dyDescent="0.25">
      <c r="A3" s="106" t="s">
        <v>0</v>
      </c>
      <c r="B3" s="108">
        <f>'Summary - 1 Client name '!C3</f>
        <v>0</v>
      </c>
      <c r="C3" s="107"/>
      <c r="D3" s="112"/>
      <c r="E3" s="4"/>
      <c r="F3" s="4"/>
      <c r="G3" s="4"/>
    </row>
    <row r="4" spans="1:7" s="1" customFormat="1" ht="16.5" customHeight="1" x14ac:dyDescent="0.25">
      <c r="A4" s="106" t="s">
        <v>1</v>
      </c>
      <c r="B4" s="109">
        <f>'Summary - 1 Client name '!C4</f>
        <v>46203</v>
      </c>
      <c r="C4" s="106"/>
      <c r="D4" s="132"/>
      <c r="E4" s="14"/>
      <c r="F4" s="17"/>
      <c r="G4" s="17"/>
    </row>
    <row r="5" spans="1:7" s="1" customFormat="1" ht="15.75" x14ac:dyDescent="0.25">
      <c r="A5" s="106" t="s">
        <v>2</v>
      </c>
      <c r="B5" s="106" t="s">
        <v>344</v>
      </c>
      <c r="C5" s="107"/>
      <c r="D5" s="111"/>
    </row>
    <row r="6" spans="1:7" s="1" customFormat="1" ht="15.75" x14ac:dyDescent="0.25">
      <c r="A6" s="106"/>
      <c r="B6" s="106"/>
      <c r="C6" s="107"/>
      <c r="D6" s="111"/>
    </row>
    <row r="7" spans="1:7" s="1" customFormat="1" ht="15.75" x14ac:dyDescent="0.25">
      <c r="A7" s="106"/>
      <c r="B7" s="106"/>
      <c r="C7" s="107"/>
      <c r="D7" s="111"/>
    </row>
    <row r="8" spans="1:7" s="1" customFormat="1" ht="15.75" x14ac:dyDescent="0.25">
      <c r="A8" s="103" t="s">
        <v>345</v>
      </c>
      <c r="B8" s="103"/>
      <c r="C8" s="104"/>
    </row>
    <row r="9" spans="1:7" s="1" customFormat="1" x14ac:dyDescent="0.25">
      <c r="A9" s="7"/>
      <c r="B9" s="7"/>
    </row>
    <row r="10" spans="1:7" x14ac:dyDescent="0.25">
      <c r="A10" s="8" t="s">
        <v>9</v>
      </c>
      <c r="B10" s="8" t="s">
        <v>141</v>
      </c>
    </row>
    <row r="11" spans="1:7" x14ac:dyDescent="0.25">
      <c r="A11" s="11" t="s">
        <v>103</v>
      </c>
      <c r="B11" s="9">
        <v>0</v>
      </c>
    </row>
    <row r="12" spans="1:7" x14ac:dyDescent="0.25">
      <c r="A12" s="16" t="s">
        <v>105</v>
      </c>
      <c r="B12" s="287"/>
    </row>
    <row r="13" spans="1:7" x14ac:dyDescent="0.25">
      <c r="A13" s="16" t="s">
        <v>346</v>
      </c>
      <c r="B13" s="287"/>
      <c r="C13" s="559">
        <f>SUM(B13:B14)</f>
        <v>0</v>
      </c>
    </row>
    <row r="14" spans="1:7" x14ac:dyDescent="0.25">
      <c r="A14" s="16" t="s">
        <v>347</v>
      </c>
      <c r="B14" s="287"/>
      <c r="C14" s="560"/>
    </row>
    <row r="15" spans="1:7" x14ac:dyDescent="0.25">
      <c r="A15" s="16" t="s">
        <v>348</v>
      </c>
      <c r="B15" s="287"/>
    </row>
    <row r="16" spans="1:7" x14ac:dyDescent="0.25">
      <c r="A16" s="16" t="s">
        <v>349</v>
      </c>
      <c r="B16" s="287"/>
    </row>
    <row r="17" spans="1:2" x14ac:dyDescent="0.25">
      <c r="A17" s="16" t="s">
        <v>107</v>
      </c>
      <c r="B17" s="287"/>
    </row>
    <row r="18" spans="1:2" x14ac:dyDescent="0.25">
      <c r="A18" s="16" t="s">
        <v>350</v>
      </c>
      <c r="B18" s="36"/>
    </row>
    <row r="19" spans="1:2" x14ac:dyDescent="0.25">
      <c r="A19" s="16" t="s">
        <v>108</v>
      </c>
      <c r="B19" s="36"/>
    </row>
    <row r="20" spans="1:2" x14ac:dyDescent="0.25">
      <c r="B20" s="36"/>
    </row>
    <row r="21" spans="1:2" ht="15.75" thickBot="1" x14ac:dyDescent="0.3">
      <c r="A21" s="10" t="s">
        <v>351</v>
      </c>
      <c r="B21" s="35">
        <f>SUM(B11:B19)</f>
        <v>0</v>
      </c>
    </row>
    <row r="22" spans="1:2" ht="15.75" thickTop="1" x14ac:dyDescent="0.25"/>
    <row r="25" spans="1:2" x14ac:dyDescent="0.25">
      <c r="A25" s="43" t="s">
        <v>352</v>
      </c>
      <c r="B25" s="64"/>
    </row>
    <row r="26" spans="1:2" x14ac:dyDescent="0.25">
      <c r="A26" s="44" t="s">
        <v>353</v>
      </c>
      <c r="B26" s="45"/>
    </row>
    <row r="27" spans="1:2" x14ac:dyDescent="0.25">
      <c r="A27" s="44" t="s">
        <v>354</v>
      </c>
      <c r="B27" s="45"/>
    </row>
    <row r="28" spans="1:2" x14ac:dyDescent="0.25">
      <c r="A28" s="44" t="s">
        <v>355</v>
      </c>
      <c r="B28" s="45"/>
    </row>
    <row r="29" spans="1:2" x14ac:dyDescent="0.25">
      <c r="A29" s="44" t="s">
        <v>356</v>
      </c>
      <c r="B29" s="45"/>
    </row>
    <row r="30" spans="1:2" x14ac:dyDescent="0.25">
      <c r="A30" s="46" t="s">
        <v>357</v>
      </c>
      <c r="B30" s="47"/>
    </row>
    <row r="33" spans="1:2" x14ac:dyDescent="0.25">
      <c r="A33" s="10" t="s">
        <v>358</v>
      </c>
    </row>
    <row r="35" spans="1:2" x14ac:dyDescent="0.25">
      <c r="A35" s="16" t="s">
        <v>359</v>
      </c>
      <c r="B35" s="65">
        <f>B30*0.68</f>
        <v>0</v>
      </c>
    </row>
    <row r="36" spans="1:2" x14ac:dyDescent="0.25">
      <c r="A36" s="16" t="s">
        <v>360</v>
      </c>
      <c r="B36" s="65">
        <f>B21*B25</f>
        <v>0</v>
      </c>
    </row>
    <row r="38" spans="1:2" x14ac:dyDescent="0.25">
      <c r="A38" s="10" t="s">
        <v>361</v>
      </c>
    </row>
    <row r="40" spans="1:2" x14ac:dyDescent="0.25">
      <c r="B40" s="15"/>
    </row>
  </sheetData>
  <mergeCells count="2">
    <mergeCell ref="C13:C14"/>
    <mergeCell ref="A1:D1"/>
  </mergeCell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19">
    <pageSetUpPr fitToPage="1"/>
  </sheetPr>
  <dimension ref="A1:I63"/>
  <sheetViews>
    <sheetView zoomScale="90" zoomScaleNormal="90" workbookViewId="0">
      <pane xSplit="1" ySplit="8" topLeftCell="B9" activePane="bottomRight" state="frozen"/>
      <selection pane="topRight" activeCell="B1" sqref="B1"/>
      <selection pane="bottomLeft" activeCell="A9" sqref="A9"/>
      <selection pane="bottomRight" activeCell="G21" sqref="G21"/>
    </sheetView>
  </sheetViews>
  <sheetFormatPr defaultColWidth="9.140625" defaultRowHeight="12.75" x14ac:dyDescent="0.2"/>
  <cols>
    <col min="1" max="1" width="28.85546875" style="470" bestFit="1" customWidth="1"/>
    <col min="2" max="2" width="13" style="475" customWidth="1"/>
    <col min="3" max="3" width="12.5703125" style="475" customWidth="1"/>
    <col min="4" max="5" width="12.28515625" style="475" customWidth="1"/>
    <col min="6" max="6" width="11.7109375" style="475" customWidth="1"/>
    <col min="7" max="7" width="11.42578125" style="475" customWidth="1"/>
    <col min="8" max="8" width="12.7109375" style="475" customWidth="1"/>
    <col min="9" max="16384" width="9.140625" style="470"/>
  </cols>
  <sheetData>
    <row r="1" spans="1:9" s="463" customFormat="1" x14ac:dyDescent="0.2">
      <c r="A1" s="562" t="s">
        <v>4</v>
      </c>
      <c r="B1" s="562"/>
      <c r="C1" s="562"/>
      <c r="D1" s="562"/>
      <c r="E1" s="462"/>
      <c r="F1" s="462"/>
      <c r="G1" s="462"/>
      <c r="H1" s="462"/>
      <c r="I1" s="462"/>
    </row>
    <row r="2" spans="1:9" s="463" customFormat="1" x14ac:dyDescent="0.2">
      <c r="A2" s="292"/>
      <c r="B2" s="292"/>
      <c r="C2" s="292"/>
      <c r="D2" s="292"/>
      <c r="E2" s="462"/>
      <c r="F2" s="462"/>
      <c r="G2" s="462"/>
      <c r="H2" s="462"/>
      <c r="I2" s="462"/>
    </row>
    <row r="3" spans="1:9" s="463" customFormat="1" x14ac:dyDescent="0.2">
      <c r="A3" s="296" t="s">
        <v>0</v>
      </c>
      <c r="B3" s="295">
        <f>'Summary - 1 Client name '!C3</f>
        <v>0</v>
      </c>
      <c r="C3" s="295"/>
      <c r="D3" s="292"/>
      <c r="E3" s="462"/>
      <c r="F3" s="462"/>
      <c r="G3" s="462"/>
      <c r="H3" s="462"/>
      <c r="I3" s="462"/>
    </row>
    <row r="4" spans="1:9" s="463" customFormat="1" x14ac:dyDescent="0.2">
      <c r="A4" s="296" t="s">
        <v>1</v>
      </c>
      <c r="B4" s="464">
        <f>'Summary - 1 Client name '!C4</f>
        <v>46203</v>
      </c>
      <c r="C4" s="464"/>
      <c r="D4" s="296"/>
      <c r="E4" s="462"/>
      <c r="F4" s="462"/>
      <c r="G4" s="462"/>
      <c r="H4" s="462"/>
      <c r="I4" s="462"/>
    </row>
    <row r="5" spans="1:9" s="463" customFormat="1" x14ac:dyDescent="0.2">
      <c r="A5" s="296" t="s">
        <v>2</v>
      </c>
      <c r="B5" s="296" t="s">
        <v>322</v>
      </c>
      <c r="C5" s="296"/>
      <c r="D5" s="292"/>
      <c r="E5" s="465"/>
      <c r="F5" s="465"/>
      <c r="G5" s="465"/>
      <c r="H5" s="466"/>
      <c r="I5" s="466"/>
    </row>
    <row r="6" spans="1:9" x14ac:dyDescent="0.2">
      <c r="A6" s="467"/>
      <c r="B6" s="298"/>
      <c r="C6" s="467"/>
      <c r="D6" s="298"/>
      <c r="E6" s="468"/>
      <c r="F6" s="468"/>
      <c r="G6" s="468"/>
      <c r="H6" s="469"/>
      <c r="I6" s="469"/>
    </row>
    <row r="7" spans="1:9" s="471" customFormat="1" x14ac:dyDescent="0.2">
      <c r="B7" s="561"/>
      <c r="C7" s="561"/>
      <c r="D7" s="561"/>
      <c r="E7" s="561"/>
      <c r="F7" s="561"/>
      <c r="G7" s="473"/>
      <c r="H7" s="472"/>
    </row>
    <row r="8" spans="1:9" s="474" customFormat="1" x14ac:dyDescent="0.2">
      <c r="B8" s="472" t="s">
        <v>418</v>
      </c>
      <c r="C8" s="472" t="s">
        <v>419</v>
      </c>
      <c r="D8" s="472" t="s">
        <v>420</v>
      </c>
      <c r="E8" s="472" t="s">
        <v>421</v>
      </c>
      <c r="F8" s="472" t="s">
        <v>417</v>
      </c>
      <c r="G8" s="472" t="s">
        <v>308</v>
      </c>
      <c r="H8" s="474" t="s">
        <v>416</v>
      </c>
    </row>
    <row r="10" spans="1:9" x14ac:dyDescent="0.2">
      <c r="A10" s="471" t="s">
        <v>198</v>
      </c>
    </row>
    <row r="11" spans="1:9" x14ac:dyDescent="0.2">
      <c r="A11" s="470" t="s">
        <v>422</v>
      </c>
      <c r="B11" s="476"/>
      <c r="C11" s="476"/>
      <c r="D11" s="476"/>
      <c r="E11" s="476"/>
      <c r="F11" s="476">
        <f>SUM(B11:E11)</f>
        <v>0</v>
      </c>
      <c r="G11" s="476">
        <f>F11/11</f>
        <v>0</v>
      </c>
      <c r="H11" s="476">
        <f>F11-G11</f>
        <v>0</v>
      </c>
    </row>
    <row r="12" spans="1:9" x14ac:dyDescent="0.2">
      <c r="A12" s="470" t="s">
        <v>423</v>
      </c>
      <c r="B12" s="476"/>
      <c r="C12" s="476"/>
      <c r="D12" s="476"/>
      <c r="E12" s="476"/>
      <c r="F12" s="476">
        <f>SUM(B12:E12)</f>
        <v>0</v>
      </c>
      <c r="G12" s="476">
        <f>F12/11</f>
        <v>0</v>
      </c>
      <c r="H12" s="476">
        <f>F12-G12</f>
        <v>0</v>
      </c>
    </row>
    <row r="13" spans="1:9" x14ac:dyDescent="0.2">
      <c r="A13" s="470" t="s">
        <v>323</v>
      </c>
      <c r="B13" s="476"/>
      <c r="C13" s="476"/>
      <c r="D13" s="476"/>
      <c r="E13" s="476"/>
      <c r="F13" s="476">
        <f>SUM(B13:E13)</f>
        <v>0</v>
      </c>
      <c r="G13" s="476">
        <v>0</v>
      </c>
      <c r="H13" s="476">
        <f>F13-G13</f>
        <v>0</v>
      </c>
    </row>
    <row r="14" spans="1:9" s="471" customFormat="1" x14ac:dyDescent="0.2">
      <c r="A14" s="471" t="s">
        <v>199</v>
      </c>
      <c r="B14" s="477">
        <f t="shared" ref="B14:H14" si="0">SUM(B11:B13)</f>
        <v>0</v>
      </c>
      <c r="C14" s="477">
        <f t="shared" si="0"/>
        <v>0</v>
      </c>
      <c r="D14" s="477">
        <f t="shared" si="0"/>
        <v>0</v>
      </c>
      <c r="E14" s="477">
        <f t="shared" si="0"/>
        <v>0</v>
      </c>
      <c r="F14" s="477">
        <f t="shared" si="0"/>
        <v>0</v>
      </c>
      <c r="G14" s="477">
        <f t="shared" si="0"/>
        <v>0</v>
      </c>
      <c r="H14" s="477">
        <f t="shared" si="0"/>
        <v>0</v>
      </c>
    </row>
    <row r="15" spans="1:9" x14ac:dyDescent="0.2">
      <c r="B15" s="476"/>
      <c r="C15" s="476"/>
      <c r="D15" s="476"/>
      <c r="E15" s="476"/>
      <c r="F15" s="476"/>
      <c r="G15" s="476"/>
      <c r="H15" s="476"/>
    </row>
    <row r="16" spans="1:9" x14ac:dyDescent="0.2">
      <c r="A16" s="471" t="s">
        <v>201</v>
      </c>
      <c r="B16" s="476"/>
      <c r="C16" s="476"/>
      <c r="D16" s="476"/>
      <c r="E16" s="476"/>
      <c r="F16" s="476"/>
      <c r="G16" s="476"/>
      <c r="H16" s="476"/>
    </row>
    <row r="17" spans="1:8" x14ac:dyDescent="0.2">
      <c r="A17" s="470" t="s">
        <v>202</v>
      </c>
      <c r="B17" s="476"/>
      <c r="C17" s="476"/>
      <c r="D17" s="476"/>
      <c r="E17" s="476"/>
      <c r="F17" s="476">
        <f t="shared" ref="F17:F43" si="1">SUM(B17:E17)</f>
        <v>0</v>
      </c>
      <c r="G17" s="476">
        <f>F17/11</f>
        <v>0</v>
      </c>
      <c r="H17" s="476">
        <f t="shared" ref="H17:H43" si="2">F17-G17</f>
        <v>0</v>
      </c>
    </row>
    <row r="18" spans="1:8" x14ac:dyDescent="0.2">
      <c r="A18" s="470" t="s">
        <v>430</v>
      </c>
      <c r="B18" s="476"/>
      <c r="C18" s="476"/>
      <c r="D18" s="476"/>
      <c r="E18" s="476"/>
      <c r="F18" s="476">
        <f t="shared" ref="F18:F19" si="3">SUM(B18:E18)</f>
        <v>0</v>
      </c>
      <c r="G18" s="476">
        <f>F18/11</f>
        <v>0</v>
      </c>
      <c r="H18" s="476">
        <f t="shared" ref="H18:H19" si="4">F18-G18</f>
        <v>0</v>
      </c>
    </row>
    <row r="19" spans="1:8" x14ac:dyDescent="0.2">
      <c r="A19" s="470" t="s">
        <v>429</v>
      </c>
      <c r="B19" s="476"/>
      <c r="C19" s="476"/>
      <c r="D19" s="476"/>
      <c r="E19" s="476"/>
      <c r="F19" s="476">
        <f t="shared" si="3"/>
        <v>0</v>
      </c>
      <c r="G19" s="476">
        <f>F19/11</f>
        <v>0</v>
      </c>
      <c r="H19" s="476">
        <f t="shared" si="4"/>
        <v>0</v>
      </c>
    </row>
    <row r="20" spans="1:8" x14ac:dyDescent="0.2">
      <c r="A20" s="470" t="s">
        <v>324</v>
      </c>
      <c r="B20" s="476"/>
      <c r="C20" s="476"/>
      <c r="D20" s="476"/>
      <c r="E20" s="476"/>
      <c r="F20" s="476">
        <f t="shared" si="1"/>
        <v>0</v>
      </c>
      <c r="G20" s="476">
        <v>0</v>
      </c>
      <c r="H20" s="476">
        <f t="shared" si="2"/>
        <v>0</v>
      </c>
    </row>
    <row r="21" spans="1:8" x14ac:dyDescent="0.2">
      <c r="A21" s="470" t="s">
        <v>432</v>
      </c>
      <c r="B21" s="476"/>
      <c r="C21" s="476"/>
      <c r="D21" s="476"/>
      <c r="E21" s="476"/>
      <c r="F21" s="476">
        <f>SUM(B21:E21)</f>
        <v>0</v>
      </c>
      <c r="G21" s="476">
        <f>F21/11</f>
        <v>0</v>
      </c>
      <c r="H21" s="476">
        <f>F21-G21</f>
        <v>0</v>
      </c>
    </row>
    <row r="22" spans="1:8" x14ac:dyDescent="0.2">
      <c r="A22" s="470" t="s">
        <v>433</v>
      </c>
      <c r="B22" s="476"/>
      <c r="C22" s="476"/>
      <c r="D22" s="476"/>
      <c r="E22" s="476"/>
      <c r="F22" s="476">
        <f>SUM(B22:E22)</f>
        <v>0</v>
      </c>
      <c r="G22" s="476">
        <f>F22/11</f>
        <v>0</v>
      </c>
      <c r="H22" s="476">
        <f>F22-G22</f>
        <v>0</v>
      </c>
    </row>
    <row r="23" spans="1:8" x14ac:dyDescent="0.2">
      <c r="A23" s="470" t="s">
        <v>427</v>
      </c>
      <c r="B23" s="476"/>
      <c r="C23" s="476"/>
      <c r="D23" s="476"/>
      <c r="E23" s="476"/>
      <c r="F23" s="476">
        <f t="shared" si="1"/>
        <v>0</v>
      </c>
      <c r="G23" s="476">
        <f t="shared" ref="G23:G24" si="5">F23/11</f>
        <v>0</v>
      </c>
      <c r="H23" s="476">
        <f t="shared" si="2"/>
        <v>0</v>
      </c>
    </row>
    <row r="24" spans="1:8" x14ac:dyDescent="0.2">
      <c r="A24" s="470" t="s">
        <v>428</v>
      </c>
      <c r="B24" s="476"/>
      <c r="C24" s="476"/>
      <c r="D24" s="476"/>
      <c r="E24" s="476"/>
      <c r="F24" s="476">
        <f t="shared" si="1"/>
        <v>0</v>
      </c>
      <c r="G24" s="476">
        <f t="shared" si="5"/>
        <v>0</v>
      </c>
      <c r="H24" s="476">
        <f t="shared" si="2"/>
        <v>0</v>
      </c>
    </row>
    <row r="25" spans="1:8" x14ac:dyDescent="0.2">
      <c r="A25" s="470" t="s">
        <v>204</v>
      </c>
      <c r="B25" s="476"/>
      <c r="C25" s="476"/>
      <c r="D25" s="476"/>
      <c r="E25" s="476"/>
      <c r="F25" s="476">
        <f t="shared" si="1"/>
        <v>0</v>
      </c>
      <c r="G25" s="476">
        <v>0</v>
      </c>
      <c r="H25" s="476">
        <f t="shared" si="2"/>
        <v>0</v>
      </c>
    </row>
    <row r="26" spans="1:8" x14ac:dyDescent="0.2">
      <c r="A26" s="470" t="s">
        <v>426</v>
      </c>
      <c r="B26" s="476"/>
      <c r="C26" s="476"/>
      <c r="D26" s="476"/>
      <c r="E26" s="476"/>
      <c r="F26" s="476">
        <f t="shared" si="1"/>
        <v>0</v>
      </c>
      <c r="G26" s="476">
        <f>F26/11</f>
        <v>0</v>
      </c>
      <c r="H26" s="476">
        <f t="shared" si="2"/>
        <v>0</v>
      </c>
    </row>
    <row r="27" spans="1:8" x14ac:dyDescent="0.2">
      <c r="A27" s="470" t="s">
        <v>52</v>
      </c>
      <c r="B27" s="476"/>
      <c r="C27" s="476"/>
      <c r="D27" s="476"/>
      <c r="E27" s="476"/>
      <c r="F27" s="476">
        <f t="shared" si="1"/>
        <v>0</v>
      </c>
      <c r="G27" s="476">
        <v>0</v>
      </c>
      <c r="H27" s="476">
        <f t="shared" si="2"/>
        <v>0</v>
      </c>
    </row>
    <row r="28" spans="1:8" x14ac:dyDescent="0.2">
      <c r="A28" s="470" t="s">
        <v>325</v>
      </c>
      <c r="B28" s="476"/>
      <c r="C28" s="476"/>
      <c r="D28" s="476"/>
      <c r="E28" s="476"/>
      <c r="F28" s="476">
        <f t="shared" si="1"/>
        <v>0</v>
      </c>
      <c r="G28" s="476">
        <v>0</v>
      </c>
      <c r="H28" s="476">
        <f t="shared" si="2"/>
        <v>0</v>
      </c>
    </row>
    <row r="29" spans="1:8" x14ac:dyDescent="0.2">
      <c r="A29" s="470" t="s">
        <v>117</v>
      </c>
      <c r="B29" s="476"/>
      <c r="C29" s="476"/>
      <c r="D29" s="476"/>
      <c r="E29" s="476"/>
      <c r="F29" s="476">
        <f t="shared" si="1"/>
        <v>0</v>
      </c>
      <c r="G29" s="476">
        <f>+F29/11</f>
        <v>0</v>
      </c>
      <c r="H29" s="476">
        <f t="shared" si="2"/>
        <v>0</v>
      </c>
    </row>
    <row r="30" spans="1:8" x14ac:dyDescent="0.2">
      <c r="A30" s="470" t="s">
        <v>424</v>
      </c>
      <c r="B30" s="476"/>
      <c r="C30" s="476"/>
      <c r="D30" s="476"/>
      <c r="E30" s="476"/>
      <c r="F30" s="476">
        <f t="shared" si="1"/>
        <v>0</v>
      </c>
      <c r="G30" s="476">
        <f>F30/11</f>
        <v>0</v>
      </c>
      <c r="H30" s="476">
        <f t="shared" si="2"/>
        <v>0</v>
      </c>
    </row>
    <row r="31" spans="1:8" x14ac:dyDescent="0.2">
      <c r="A31" s="470" t="s">
        <v>425</v>
      </c>
      <c r="B31" s="476"/>
      <c r="C31" s="476"/>
      <c r="D31" s="476"/>
      <c r="E31" s="476"/>
      <c r="F31" s="476">
        <f t="shared" si="1"/>
        <v>0</v>
      </c>
      <c r="G31" s="476">
        <f>F31/11</f>
        <v>0</v>
      </c>
      <c r="H31" s="476">
        <f t="shared" si="2"/>
        <v>0</v>
      </c>
    </row>
    <row r="32" spans="1:8" x14ac:dyDescent="0.2">
      <c r="A32" s="470" t="s">
        <v>326</v>
      </c>
      <c r="B32" s="476"/>
      <c r="C32" s="476"/>
      <c r="D32" s="476"/>
      <c r="E32" s="476"/>
      <c r="F32" s="476">
        <f t="shared" si="1"/>
        <v>0</v>
      </c>
      <c r="G32" s="476">
        <v>0</v>
      </c>
      <c r="H32" s="476">
        <f t="shared" si="2"/>
        <v>0</v>
      </c>
    </row>
    <row r="33" spans="1:8" x14ac:dyDescent="0.2">
      <c r="A33" s="470" t="s">
        <v>435</v>
      </c>
      <c r="B33" s="476"/>
      <c r="C33" s="476"/>
      <c r="D33" s="476"/>
      <c r="E33" s="476"/>
      <c r="F33" s="476">
        <f t="shared" si="1"/>
        <v>0</v>
      </c>
      <c r="G33" s="476">
        <f>F33/11</f>
        <v>0</v>
      </c>
      <c r="H33" s="476">
        <f t="shared" si="2"/>
        <v>0</v>
      </c>
    </row>
    <row r="34" spans="1:8" x14ac:dyDescent="0.2">
      <c r="A34" s="470" t="s">
        <v>327</v>
      </c>
      <c r="B34" s="476"/>
      <c r="C34" s="476"/>
      <c r="D34" s="476"/>
      <c r="E34" s="476"/>
      <c r="F34" s="476">
        <f t="shared" si="1"/>
        <v>0</v>
      </c>
      <c r="G34" s="476">
        <f>F34/11</f>
        <v>0</v>
      </c>
      <c r="H34" s="476">
        <f t="shared" si="2"/>
        <v>0</v>
      </c>
    </row>
    <row r="35" spans="1:8" x14ac:dyDescent="0.2">
      <c r="A35" s="470" t="s">
        <v>328</v>
      </c>
      <c r="B35" s="476"/>
      <c r="C35" s="476"/>
      <c r="D35" s="476"/>
      <c r="E35" s="476"/>
      <c r="F35" s="476">
        <f t="shared" si="1"/>
        <v>0</v>
      </c>
      <c r="G35" s="476">
        <v>0</v>
      </c>
      <c r="H35" s="476">
        <f t="shared" si="2"/>
        <v>0</v>
      </c>
    </row>
    <row r="36" spans="1:8" x14ac:dyDescent="0.2">
      <c r="A36" s="470" t="s">
        <v>436</v>
      </c>
      <c r="B36" s="476"/>
      <c r="C36" s="476"/>
      <c r="D36" s="476"/>
      <c r="E36" s="476"/>
      <c r="F36" s="476">
        <f>SUM(B36:E36)</f>
        <v>0</v>
      </c>
      <c r="G36" s="476">
        <f>F36/11</f>
        <v>0</v>
      </c>
      <c r="H36" s="476">
        <f>F36-G36</f>
        <v>0</v>
      </c>
    </row>
    <row r="37" spans="1:8" x14ac:dyDescent="0.2">
      <c r="A37" s="470" t="s">
        <v>329</v>
      </c>
      <c r="B37" s="476"/>
      <c r="C37" s="476"/>
      <c r="D37" s="476"/>
      <c r="E37" s="476"/>
      <c r="F37" s="476">
        <f t="shared" si="1"/>
        <v>0</v>
      </c>
      <c r="G37" s="476">
        <f>F37/11</f>
        <v>0</v>
      </c>
      <c r="H37" s="476">
        <f t="shared" si="2"/>
        <v>0</v>
      </c>
    </row>
    <row r="38" spans="1:8" x14ac:dyDescent="0.2">
      <c r="A38" s="470" t="s">
        <v>330</v>
      </c>
      <c r="B38" s="476"/>
      <c r="C38" s="476"/>
      <c r="D38" s="476"/>
      <c r="E38" s="476"/>
      <c r="F38" s="476">
        <f t="shared" si="1"/>
        <v>0</v>
      </c>
      <c r="G38" s="476">
        <f>F38/11</f>
        <v>0</v>
      </c>
      <c r="H38" s="476">
        <f t="shared" si="2"/>
        <v>0</v>
      </c>
    </row>
    <row r="39" spans="1:8" x14ac:dyDescent="0.2">
      <c r="A39" s="470" t="s">
        <v>331</v>
      </c>
      <c r="B39" s="476"/>
      <c r="C39" s="476"/>
      <c r="D39" s="476"/>
      <c r="E39" s="476"/>
      <c r="F39" s="476">
        <f t="shared" si="1"/>
        <v>0</v>
      </c>
      <c r="G39" s="476">
        <v>0</v>
      </c>
      <c r="H39" s="476">
        <f t="shared" si="2"/>
        <v>0</v>
      </c>
    </row>
    <row r="40" spans="1:8" x14ac:dyDescent="0.2">
      <c r="A40" s="470" t="s">
        <v>434</v>
      </c>
      <c r="B40" s="476"/>
      <c r="C40" s="476"/>
      <c r="D40" s="476"/>
      <c r="E40" s="476"/>
      <c r="F40" s="476">
        <f t="shared" si="1"/>
        <v>0</v>
      </c>
      <c r="G40" s="476">
        <v>0</v>
      </c>
      <c r="H40" s="476">
        <f t="shared" si="2"/>
        <v>0</v>
      </c>
    </row>
    <row r="41" spans="1:8" x14ac:dyDescent="0.2">
      <c r="A41" s="470" t="s">
        <v>438</v>
      </c>
      <c r="B41" s="476"/>
      <c r="C41" s="476"/>
      <c r="D41" s="476"/>
      <c r="E41" s="476"/>
      <c r="F41" s="476">
        <f t="shared" si="1"/>
        <v>0</v>
      </c>
      <c r="G41" s="476">
        <f>F41/11</f>
        <v>0</v>
      </c>
      <c r="H41" s="476">
        <f t="shared" si="2"/>
        <v>0</v>
      </c>
    </row>
    <row r="42" spans="1:8" x14ac:dyDescent="0.2">
      <c r="A42" s="470" t="s">
        <v>437</v>
      </c>
      <c r="B42" s="476"/>
      <c r="C42" s="476"/>
      <c r="D42" s="476"/>
      <c r="E42" s="476"/>
      <c r="F42" s="476">
        <f t="shared" si="1"/>
        <v>0</v>
      </c>
      <c r="G42" s="476">
        <v>0</v>
      </c>
      <c r="H42" s="476">
        <f t="shared" si="2"/>
        <v>0</v>
      </c>
    </row>
    <row r="43" spans="1:8" x14ac:dyDescent="0.2">
      <c r="A43" s="470" t="s">
        <v>332</v>
      </c>
      <c r="B43" s="476"/>
      <c r="C43" s="476"/>
      <c r="D43" s="476"/>
      <c r="E43" s="476"/>
      <c r="F43" s="476">
        <f t="shared" si="1"/>
        <v>0</v>
      </c>
      <c r="G43" s="476">
        <f>F43/11</f>
        <v>0</v>
      </c>
      <c r="H43" s="476">
        <f t="shared" si="2"/>
        <v>0</v>
      </c>
    </row>
    <row r="44" spans="1:8" x14ac:dyDescent="0.2">
      <c r="B44" s="476"/>
      <c r="C44" s="476"/>
      <c r="D44" s="476"/>
      <c r="E44" s="476"/>
      <c r="F44" s="476"/>
      <c r="G44" s="476"/>
      <c r="H44" s="476"/>
    </row>
    <row r="45" spans="1:8" x14ac:dyDescent="0.2">
      <c r="B45" s="476"/>
      <c r="C45" s="476"/>
      <c r="D45" s="476"/>
      <c r="E45" s="476"/>
      <c r="F45" s="476"/>
      <c r="G45" s="476"/>
      <c r="H45" s="476"/>
    </row>
    <row r="46" spans="1:8" s="471" customFormat="1" x14ac:dyDescent="0.2">
      <c r="A46" s="471" t="s">
        <v>225</v>
      </c>
      <c r="B46" s="477">
        <f t="shared" ref="B46:H46" si="6">SUM(B17:B45)</f>
        <v>0</v>
      </c>
      <c r="C46" s="477">
        <f t="shared" si="6"/>
        <v>0</v>
      </c>
      <c r="D46" s="477">
        <f t="shared" si="6"/>
        <v>0</v>
      </c>
      <c r="E46" s="477">
        <f t="shared" si="6"/>
        <v>0</v>
      </c>
      <c r="F46" s="477">
        <f t="shared" si="6"/>
        <v>0</v>
      </c>
      <c r="G46" s="477">
        <f t="shared" si="6"/>
        <v>0</v>
      </c>
      <c r="H46" s="477">
        <f t="shared" si="6"/>
        <v>0</v>
      </c>
    </row>
    <row r="47" spans="1:8" x14ac:dyDescent="0.2">
      <c r="B47" s="476"/>
      <c r="C47" s="476"/>
      <c r="D47" s="476"/>
      <c r="E47" s="476"/>
      <c r="F47" s="476"/>
      <c r="G47" s="476"/>
      <c r="H47" s="476"/>
    </row>
    <row r="48" spans="1:8" x14ac:dyDescent="0.2">
      <c r="A48" s="471" t="s">
        <v>289</v>
      </c>
      <c r="B48" s="476"/>
      <c r="C48" s="476"/>
      <c r="D48" s="476"/>
      <c r="E48" s="476"/>
      <c r="F48" s="476"/>
      <c r="G48" s="476"/>
      <c r="H48" s="476"/>
    </row>
    <row r="49" spans="1:8" x14ac:dyDescent="0.2">
      <c r="A49" s="470" t="s">
        <v>333</v>
      </c>
      <c r="B49" s="476"/>
      <c r="C49" s="476"/>
      <c r="D49" s="476"/>
      <c r="E49" s="476"/>
      <c r="F49" s="476">
        <f>-F28</f>
        <v>0</v>
      </c>
      <c r="G49" s="476">
        <f>-G28</f>
        <v>0</v>
      </c>
      <c r="H49" s="476">
        <f>-H28</f>
        <v>0</v>
      </c>
    </row>
    <row r="50" spans="1:8" x14ac:dyDescent="0.2">
      <c r="A50" s="470" t="s">
        <v>326</v>
      </c>
      <c r="B50" s="476"/>
      <c r="C50" s="476"/>
      <c r="D50" s="476"/>
      <c r="E50" s="476"/>
      <c r="F50" s="476">
        <f>-F32</f>
        <v>0</v>
      </c>
      <c r="G50" s="476">
        <f>-G32</f>
        <v>0</v>
      </c>
      <c r="H50" s="476">
        <f>-H32</f>
        <v>0</v>
      </c>
    </row>
    <row r="51" spans="1:8" x14ac:dyDescent="0.2">
      <c r="A51" s="470" t="str">
        <f>A34</f>
        <v>MV - Expenses (GST)</v>
      </c>
      <c r="B51" s="476"/>
      <c r="C51" s="476"/>
      <c r="D51" s="476"/>
      <c r="E51" s="476"/>
      <c r="F51" s="476">
        <f t="shared" ref="F51:H52" si="7">-F34</f>
        <v>0</v>
      </c>
      <c r="G51" s="476">
        <f t="shared" si="7"/>
        <v>0</v>
      </c>
      <c r="H51" s="476">
        <f t="shared" si="7"/>
        <v>0</v>
      </c>
    </row>
    <row r="52" spans="1:8" x14ac:dyDescent="0.2">
      <c r="A52" s="470" t="str">
        <f>A35</f>
        <v>MV - Expenses (No GST)</v>
      </c>
      <c r="B52" s="476"/>
      <c r="C52" s="476"/>
      <c r="D52" s="476"/>
      <c r="E52" s="476"/>
      <c r="F52" s="476">
        <f t="shared" si="7"/>
        <v>0</v>
      </c>
      <c r="G52" s="476">
        <f t="shared" si="7"/>
        <v>0</v>
      </c>
      <c r="H52" s="476">
        <f t="shared" si="7"/>
        <v>0</v>
      </c>
    </row>
    <row r="53" spans="1:8" x14ac:dyDescent="0.2">
      <c r="A53" s="470" t="s">
        <v>334</v>
      </c>
      <c r="B53" s="476"/>
      <c r="C53" s="476"/>
      <c r="D53" s="476"/>
      <c r="E53" s="476"/>
      <c r="F53" s="476">
        <f t="shared" ref="F53:F55" si="8">SUM(B53:E53)</f>
        <v>0</v>
      </c>
      <c r="G53" s="476">
        <v>0</v>
      </c>
      <c r="H53" s="476">
        <f t="shared" ref="H53:H55" si="9">F53-G53</f>
        <v>0</v>
      </c>
    </row>
    <row r="54" spans="1:8" x14ac:dyDescent="0.2">
      <c r="A54" s="470" t="s">
        <v>335</v>
      </c>
      <c r="B54" s="476"/>
      <c r="C54" s="476"/>
      <c r="D54" s="476"/>
      <c r="E54" s="476"/>
      <c r="F54" s="476">
        <f t="shared" si="8"/>
        <v>0</v>
      </c>
      <c r="G54" s="476">
        <v>0</v>
      </c>
      <c r="H54" s="476">
        <f t="shared" si="9"/>
        <v>0</v>
      </c>
    </row>
    <row r="55" spans="1:8" x14ac:dyDescent="0.2">
      <c r="A55" s="470" t="s">
        <v>431</v>
      </c>
      <c r="B55" s="476"/>
      <c r="C55" s="476"/>
      <c r="D55" s="476"/>
      <c r="E55" s="476"/>
      <c r="F55" s="476">
        <f t="shared" si="8"/>
        <v>0</v>
      </c>
      <c r="G55" s="476">
        <v>0</v>
      </c>
      <c r="H55" s="476">
        <f t="shared" si="9"/>
        <v>0</v>
      </c>
    </row>
    <row r="56" spans="1:8" x14ac:dyDescent="0.2">
      <c r="B56" s="476"/>
      <c r="C56" s="476"/>
      <c r="D56" s="476"/>
      <c r="E56" s="476"/>
      <c r="F56" s="476"/>
      <c r="G56" s="476"/>
      <c r="H56" s="476"/>
    </row>
    <row r="57" spans="1:8" x14ac:dyDescent="0.2">
      <c r="B57" s="476"/>
      <c r="C57" s="476"/>
      <c r="D57" s="476"/>
      <c r="E57" s="476"/>
      <c r="F57" s="476"/>
      <c r="G57" s="476"/>
      <c r="H57" s="476"/>
    </row>
    <row r="58" spans="1:8" x14ac:dyDescent="0.2">
      <c r="A58" s="471" t="s">
        <v>336</v>
      </c>
      <c r="B58" s="477">
        <f t="shared" ref="B58:H58" si="10">SUM(B49:B57)</f>
        <v>0</v>
      </c>
      <c r="C58" s="477">
        <f t="shared" si="10"/>
        <v>0</v>
      </c>
      <c r="D58" s="477">
        <f t="shared" si="10"/>
        <v>0</v>
      </c>
      <c r="E58" s="477">
        <f t="shared" si="10"/>
        <v>0</v>
      </c>
      <c r="F58" s="477">
        <f t="shared" si="10"/>
        <v>0</v>
      </c>
      <c r="G58" s="477">
        <f t="shared" si="10"/>
        <v>0</v>
      </c>
      <c r="H58" s="477">
        <f t="shared" si="10"/>
        <v>0</v>
      </c>
    </row>
    <row r="59" spans="1:8" x14ac:dyDescent="0.2">
      <c r="B59" s="476"/>
      <c r="C59" s="476"/>
      <c r="D59" s="476"/>
      <c r="E59" s="476"/>
      <c r="F59" s="476"/>
      <c r="G59" s="476"/>
      <c r="H59" s="476"/>
    </row>
    <row r="60" spans="1:8" s="471" customFormat="1" ht="13.5" thickBot="1" x14ac:dyDescent="0.25">
      <c r="A60" s="471" t="s">
        <v>337</v>
      </c>
      <c r="B60" s="478"/>
      <c r="C60" s="478"/>
      <c r="D60" s="478"/>
      <c r="E60" s="478"/>
      <c r="F60" s="478"/>
      <c r="G60" s="479">
        <f>G14-G46-G58</f>
        <v>0</v>
      </c>
      <c r="H60" s="479">
        <f>H14-H46-H58</f>
        <v>0</v>
      </c>
    </row>
    <row r="61" spans="1:8" ht="13.5" thickTop="1" x14ac:dyDescent="0.2">
      <c r="B61" s="476"/>
      <c r="C61" s="476"/>
      <c r="D61" s="476"/>
      <c r="E61" s="476"/>
      <c r="F61" s="476"/>
      <c r="G61" s="476"/>
      <c r="H61" s="476"/>
    </row>
    <row r="62" spans="1:8" x14ac:dyDescent="0.2">
      <c r="B62" s="476"/>
      <c r="C62" s="476"/>
      <c r="D62" s="476"/>
      <c r="E62" s="476"/>
      <c r="F62" s="476"/>
      <c r="G62" s="476"/>
      <c r="H62" s="476"/>
    </row>
    <row r="63" spans="1:8" x14ac:dyDescent="0.2">
      <c r="B63" s="476"/>
      <c r="C63" s="476"/>
      <c r="D63" s="476"/>
      <c r="E63" s="476"/>
      <c r="F63" s="476"/>
      <c r="G63" s="476"/>
      <c r="H63" s="476"/>
    </row>
  </sheetData>
  <mergeCells count="2">
    <mergeCell ref="B7:F7"/>
    <mergeCell ref="A1:D1"/>
  </mergeCells>
  <pageMargins left="0.74803149606299213" right="0.74803149606299213" top="0.59055118110236227" bottom="0.39370078740157483" header="0" footer="0.51181102362204722"/>
  <pageSetup paperSize="9" scale="87" orientation="portrait" r:id="rId1"/>
  <headerFooter alignWithMargins="0">
    <oddHeader xml:space="preserve">&amp;C&amp;"Century Gothic,Bold"&amp;14&amp;USchedule&amp;"Arial,Regular"&amp;10&amp;U 
&amp;"Century Gothic,Bold"&amp;12BUSINESS SUMMARY&amp;"Arial,Regular"&amp;10 </oddHeader>
    <oddFooter>&amp;L&amp;Z&amp;F&amp;RPage &amp;P of  &amp;N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M60"/>
  <sheetViews>
    <sheetView zoomScale="90" zoomScaleNormal="9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E5" sqref="E5"/>
    </sheetView>
  </sheetViews>
  <sheetFormatPr defaultColWidth="9.140625" defaultRowHeight="12.75" x14ac:dyDescent="0.2"/>
  <cols>
    <col min="1" max="1" width="66.140625" style="448" customWidth="1"/>
    <col min="2" max="2" width="12.140625" style="448" customWidth="1"/>
    <col min="3" max="3" width="13.140625" style="448" customWidth="1"/>
    <col min="4" max="4" width="12.42578125" style="448" customWidth="1"/>
    <col min="5" max="5" width="12.140625" style="448" customWidth="1"/>
    <col min="6" max="6" width="13.140625" style="448" customWidth="1"/>
    <col min="7" max="7" width="14.28515625" style="448" customWidth="1"/>
    <col min="8" max="8" width="32" style="448" customWidth="1"/>
    <col min="9" max="9" width="7.7109375" style="448" customWidth="1"/>
    <col min="10" max="10" width="15.28515625" style="448" customWidth="1"/>
    <col min="11" max="11" width="15.140625" style="448" customWidth="1"/>
    <col min="12" max="12" width="14.42578125" style="448" customWidth="1"/>
    <col min="13" max="13" width="13.42578125" style="448" customWidth="1"/>
    <col min="14" max="16384" width="9.140625" style="448"/>
  </cols>
  <sheetData>
    <row r="1" spans="1:13" x14ac:dyDescent="0.2">
      <c r="A1" s="232" t="s">
        <v>487</v>
      </c>
      <c r="B1" s="232"/>
      <c r="C1" s="233" t="s">
        <v>193</v>
      </c>
      <c r="D1" s="234"/>
      <c r="E1" s="232"/>
      <c r="F1" s="233"/>
      <c r="G1" s="234"/>
      <c r="L1" s="428"/>
      <c r="M1" s="428"/>
    </row>
    <row r="2" spans="1:13" x14ac:dyDescent="0.2">
      <c r="A2" s="232" t="s">
        <v>536</v>
      </c>
      <c r="B2" s="235"/>
      <c r="C2" s="233" t="s">
        <v>194</v>
      </c>
      <c r="D2" s="236"/>
      <c r="E2" s="235"/>
      <c r="F2" s="233"/>
      <c r="G2" s="236"/>
      <c r="L2" s="428"/>
      <c r="M2" s="428"/>
    </row>
    <row r="3" spans="1:13" ht="13.5" thickBot="1" x14ac:dyDescent="0.25">
      <c r="A3" s="534" t="s">
        <v>195</v>
      </c>
      <c r="B3" s="237"/>
      <c r="C3" s="238"/>
      <c r="D3" s="238"/>
      <c r="E3" s="237"/>
      <c r="F3" s="238"/>
      <c r="G3" s="238"/>
      <c r="H3" s="449"/>
      <c r="I3" s="428"/>
      <c r="J3" s="428"/>
      <c r="K3" s="428"/>
      <c r="L3" s="428"/>
      <c r="M3" s="428"/>
    </row>
    <row r="4" spans="1:13" ht="13.5" thickBot="1" x14ac:dyDescent="0.25">
      <c r="A4" s="450"/>
      <c r="B4" s="563" t="s">
        <v>439</v>
      </c>
      <c r="C4" s="564"/>
      <c r="D4" s="565"/>
      <c r="E4" s="563" t="s">
        <v>538</v>
      </c>
      <c r="F4" s="564"/>
      <c r="G4" s="565"/>
      <c r="H4" s="239"/>
      <c r="I4" s="428"/>
      <c r="J4" s="428"/>
      <c r="K4" s="428"/>
      <c r="L4" s="428"/>
    </row>
    <row r="5" spans="1:13" s="244" customFormat="1" ht="39" thickBot="1" x14ac:dyDescent="0.25">
      <c r="A5" s="240"/>
      <c r="B5" s="241" t="s">
        <v>101</v>
      </c>
      <c r="C5" s="242" t="s">
        <v>486</v>
      </c>
      <c r="D5" s="242" t="s">
        <v>196</v>
      </c>
      <c r="E5" s="241" t="s">
        <v>101</v>
      </c>
      <c r="F5" s="242" t="s">
        <v>486</v>
      </c>
      <c r="G5" s="242" t="s">
        <v>196</v>
      </c>
      <c r="H5" s="240" t="s">
        <v>197</v>
      </c>
      <c r="I5" s="243"/>
      <c r="J5" s="243"/>
      <c r="K5" s="243"/>
      <c r="L5" s="243"/>
    </row>
    <row r="6" spans="1:13" x14ac:dyDescent="0.2">
      <c r="A6" s="245" t="s">
        <v>198</v>
      </c>
      <c r="B6" s="246"/>
      <c r="C6" s="451"/>
      <c r="D6" s="451"/>
      <c r="E6" s="246"/>
      <c r="F6" s="451"/>
      <c r="G6" s="451"/>
      <c r="H6" s="452"/>
      <c r="I6" s="428"/>
      <c r="J6" s="428"/>
      <c r="K6" s="428"/>
      <c r="L6" s="428"/>
    </row>
    <row r="7" spans="1:13" x14ac:dyDescent="0.2">
      <c r="A7" s="453" t="s">
        <v>30</v>
      </c>
      <c r="B7" s="247">
        <f>+C7+D7</f>
        <v>0</v>
      </c>
      <c r="C7" s="248"/>
      <c r="D7" s="248"/>
      <c r="E7" s="247">
        <f>+F7+G7</f>
        <v>0</v>
      </c>
      <c r="F7" s="248"/>
      <c r="G7" s="248"/>
      <c r="H7" s="260"/>
      <c r="I7" s="428"/>
      <c r="J7" s="428"/>
      <c r="K7" s="428"/>
      <c r="L7" s="428"/>
    </row>
    <row r="8" spans="1:13" x14ac:dyDescent="0.2">
      <c r="A8" s="453" t="s">
        <v>31</v>
      </c>
      <c r="B8" s="247">
        <f>+C8+D8</f>
        <v>0</v>
      </c>
      <c r="C8" s="248"/>
      <c r="D8" s="248"/>
      <c r="E8" s="247">
        <f>+F8+G8</f>
        <v>0</v>
      </c>
      <c r="F8" s="248"/>
      <c r="G8" s="248"/>
      <c r="H8" s="249"/>
      <c r="I8" s="428"/>
      <c r="J8" s="428"/>
      <c r="K8" s="428"/>
      <c r="L8" s="428"/>
    </row>
    <row r="9" spans="1:13" ht="13.5" thickBot="1" x14ac:dyDescent="0.25">
      <c r="A9" s="454"/>
      <c r="B9" s="250"/>
      <c r="C9" s="251"/>
      <c r="D9" s="251"/>
      <c r="E9" s="250"/>
      <c r="F9" s="251"/>
      <c r="G9" s="251"/>
      <c r="H9" s="252"/>
      <c r="I9" s="428"/>
      <c r="J9" s="428"/>
      <c r="K9" s="428"/>
      <c r="L9" s="428"/>
    </row>
    <row r="10" spans="1:13" ht="13.5" thickBot="1" x14ac:dyDescent="0.25">
      <c r="A10" s="480" t="s">
        <v>199</v>
      </c>
      <c r="B10" s="481">
        <f t="shared" ref="B10:G10" si="0">B7+B8</f>
        <v>0</v>
      </c>
      <c r="C10" s="481">
        <f t="shared" si="0"/>
        <v>0</v>
      </c>
      <c r="D10" s="481">
        <f t="shared" si="0"/>
        <v>0</v>
      </c>
      <c r="E10" s="481">
        <f t="shared" si="0"/>
        <v>0</v>
      </c>
      <c r="F10" s="481">
        <f t="shared" si="0"/>
        <v>0</v>
      </c>
      <c r="G10" s="481">
        <f t="shared" si="0"/>
        <v>0</v>
      </c>
      <c r="H10" s="482"/>
      <c r="I10" s="428"/>
      <c r="J10" s="428"/>
      <c r="K10" s="428"/>
      <c r="L10" s="428"/>
    </row>
    <row r="11" spans="1:13" x14ac:dyDescent="0.2">
      <c r="A11" s="455" t="s">
        <v>200</v>
      </c>
      <c r="B11" s="253"/>
      <c r="C11" s="254"/>
      <c r="D11" s="254"/>
      <c r="E11" s="253"/>
      <c r="F11" s="254"/>
      <c r="G11" s="254"/>
      <c r="H11" s="255"/>
      <c r="I11" s="428"/>
      <c r="J11" s="428"/>
      <c r="K11" s="428"/>
      <c r="L11" s="428"/>
    </row>
    <row r="12" spans="1:13" x14ac:dyDescent="0.2">
      <c r="A12" s="256" t="s">
        <v>201</v>
      </c>
      <c r="B12" s="247"/>
      <c r="C12" s="248"/>
      <c r="D12" s="248"/>
      <c r="E12" s="247"/>
      <c r="F12" s="248"/>
      <c r="G12" s="248"/>
      <c r="H12" s="249"/>
      <c r="I12" s="428"/>
      <c r="J12" s="428"/>
      <c r="K12" s="428"/>
      <c r="L12" s="428"/>
    </row>
    <row r="13" spans="1:13" x14ac:dyDescent="0.2">
      <c r="A13" s="453" t="s">
        <v>490</v>
      </c>
      <c r="B13" s="247">
        <f t="shared" ref="B13:B49" si="1">+C13+D13</f>
        <v>0</v>
      </c>
      <c r="C13" s="248"/>
      <c r="D13" s="248"/>
      <c r="E13" s="247">
        <f t="shared" ref="E13:E49" si="2">+F13+G13</f>
        <v>0</v>
      </c>
      <c r="F13" s="248"/>
      <c r="G13" s="248"/>
      <c r="H13" s="456"/>
      <c r="I13" s="428"/>
      <c r="J13" s="232"/>
      <c r="K13" s="428"/>
      <c r="L13" s="428"/>
    </row>
    <row r="14" spans="1:13" x14ac:dyDescent="0.2">
      <c r="A14" s="453" t="s">
        <v>394</v>
      </c>
      <c r="B14" s="247">
        <f t="shared" si="1"/>
        <v>0</v>
      </c>
      <c r="C14" s="248"/>
      <c r="D14" s="248"/>
      <c r="E14" s="247">
        <f t="shared" si="2"/>
        <v>0</v>
      </c>
      <c r="F14" s="248"/>
      <c r="G14" s="248"/>
      <c r="H14" s="257"/>
      <c r="I14" s="428"/>
      <c r="J14" s="428"/>
      <c r="K14" s="428"/>
      <c r="L14" s="428"/>
    </row>
    <row r="15" spans="1:13" x14ac:dyDescent="0.2">
      <c r="A15" s="453" t="s">
        <v>203</v>
      </c>
      <c r="B15" s="247">
        <f t="shared" si="1"/>
        <v>0</v>
      </c>
      <c r="C15" s="248"/>
      <c r="D15" s="248"/>
      <c r="E15" s="247">
        <f t="shared" si="2"/>
        <v>0</v>
      </c>
      <c r="F15" s="248"/>
      <c r="G15" s="248"/>
      <c r="H15" s="456"/>
      <c r="I15" s="428"/>
      <c r="J15" s="428"/>
      <c r="K15" s="428"/>
      <c r="L15" s="428"/>
    </row>
    <row r="16" spans="1:13" x14ac:dyDescent="0.2">
      <c r="A16" s="453" t="s">
        <v>204</v>
      </c>
      <c r="B16" s="247">
        <f t="shared" si="1"/>
        <v>0</v>
      </c>
      <c r="C16" s="248"/>
      <c r="D16" s="248"/>
      <c r="E16" s="247">
        <f t="shared" si="2"/>
        <v>0</v>
      </c>
      <c r="F16" s="248"/>
      <c r="G16" s="248"/>
      <c r="H16" s="249"/>
      <c r="I16" s="428"/>
      <c r="J16" s="428"/>
      <c r="K16" s="428"/>
      <c r="L16" s="428"/>
    </row>
    <row r="17" spans="1:12" x14ac:dyDescent="0.2">
      <c r="A17" s="453" t="s">
        <v>205</v>
      </c>
      <c r="B17" s="247">
        <f t="shared" si="1"/>
        <v>0</v>
      </c>
      <c r="C17" s="248"/>
      <c r="D17" s="248"/>
      <c r="E17" s="247">
        <f t="shared" si="2"/>
        <v>0</v>
      </c>
      <c r="F17" s="248"/>
      <c r="G17" s="248"/>
      <c r="H17" s="257"/>
      <c r="I17" s="457"/>
      <c r="J17" s="428"/>
      <c r="K17" s="428"/>
      <c r="L17" s="428"/>
    </row>
    <row r="18" spans="1:12" x14ac:dyDescent="0.2">
      <c r="A18" s="453" t="s">
        <v>489</v>
      </c>
      <c r="B18" s="258">
        <f t="shared" si="1"/>
        <v>0</v>
      </c>
      <c r="C18" s="248"/>
      <c r="D18" s="259"/>
      <c r="E18" s="247">
        <f t="shared" si="2"/>
        <v>0</v>
      </c>
      <c r="F18" s="248"/>
      <c r="G18" s="259"/>
      <c r="H18" s="260"/>
      <c r="I18" s="428"/>
      <c r="J18" s="428"/>
      <c r="K18" s="428"/>
      <c r="L18" s="428"/>
    </row>
    <row r="19" spans="1:12" x14ac:dyDescent="0.2">
      <c r="A19" s="453" t="s">
        <v>206</v>
      </c>
      <c r="B19" s="258">
        <f t="shared" ref="B19:B21" si="3">+C19+D19</f>
        <v>0</v>
      </c>
      <c r="C19" s="248"/>
      <c r="D19" s="259"/>
      <c r="E19" s="247">
        <f t="shared" si="2"/>
        <v>0</v>
      </c>
      <c r="F19" s="248"/>
      <c r="G19" s="259"/>
      <c r="H19" s="260"/>
      <c r="I19" s="428"/>
      <c r="J19" s="428"/>
      <c r="K19" s="428"/>
      <c r="L19" s="428"/>
    </row>
    <row r="20" spans="1:12" x14ac:dyDescent="0.2">
      <c r="A20" s="453" t="s">
        <v>207</v>
      </c>
      <c r="B20" s="258">
        <f t="shared" si="3"/>
        <v>0</v>
      </c>
      <c r="C20" s="248"/>
      <c r="D20" s="259"/>
      <c r="E20" s="247">
        <f t="shared" si="2"/>
        <v>0</v>
      </c>
      <c r="F20" s="248"/>
      <c r="G20" s="259"/>
      <c r="H20" s="260"/>
      <c r="I20" s="428"/>
      <c r="J20" s="428"/>
      <c r="K20" s="428"/>
      <c r="L20" s="428"/>
    </row>
    <row r="21" spans="1:12" x14ac:dyDescent="0.2">
      <c r="A21" s="453" t="s">
        <v>104</v>
      </c>
      <c r="B21" s="258">
        <f t="shared" si="3"/>
        <v>0</v>
      </c>
      <c r="C21" s="248"/>
      <c r="D21" s="259"/>
      <c r="E21" s="247">
        <f t="shared" si="2"/>
        <v>0</v>
      </c>
      <c r="F21" s="248"/>
      <c r="G21" s="259"/>
      <c r="H21" s="260"/>
      <c r="I21" s="457"/>
      <c r="J21" s="428"/>
      <c r="K21" s="428"/>
      <c r="L21" s="428"/>
    </row>
    <row r="22" spans="1:12" x14ac:dyDescent="0.2">
      <c r="A22" s="453" t="s">
        <v>440</v>
      </c>
      <c r="B22" s="258">
        <f t="shared" si="1"/>
        <v>0</v>
      </c>
      <c r="C22" s="248"/>
      <c r="D22" s="248"/>
      <c r="E22" s="247">
        <f t="shared" si="2"/>
        <v>0</v>
      </c>
      <c r="F22" s="248"/>
      <c r="G22" s="248"/>
      <c r="H22" s="261"/>
      <c r="I22" s="262"/>
      <c r="K22" s="428"/>
      <c r="L22" s="428"/>
    </row>
    <row r="23" spans="1:12" x14ac:dyDescent="0.2">
      <c r="A23" s="453" t="s">
        <v>441</v>
      </c>
      <c r="B23" s="247">
        <f t="shared" si="1"/>
        <v>0</v>
      </c>
      <c r="C23" s="248"/>
      <c r="D23" s="248"/>
      <c r="E23" s="247">
        <f t="shared" si="2"/>
        <v>0</v>
      </c>
      <c r="F23" s="248"/>
      <c r="G23" s="248"/>
      <c r="H23" s="456"/>
      <c r="I23" s="263"/>
      <c r="J23" s="428"/>
      <c r="K23" s="428"/>
      <c r="L23" s="428"/>
    </row>
    <row r="24" spans="1:12" x14ac:dyDescent="0.2">
      <c r="A24" s="453" t="s">
        <v>208</v>
      </c>
      <c r="B24" s="247">
        <f t="shared" si="1"/>
        <v>0</v>
      </c>
      <c r="C24" s="248"/>
      <c r="D24" s="248"/>
      <c r="E24" s="247">
        <f t="shared" si="2"/>
        <v>0</v>
      </c>
      <c r="F24" s="248"/>
      <c r="G24" s="248"/>
      <c r="H24" s="249"/>
      <c r="I24" s="428"/>
      <c r="J24" s="428"/>
      <c r="K24" s="428"/>
      <c r="L24" s="428"/>
    </row>
    <row r="25" spans="1:12" x14ac:dyDescent="0.2">
      <c r="A25" s="453" t="s">
        <v>209</v>
      </c>
      <c r="B25" s="247">
        <f t="shared" si="1"/>
        <v>0</v>
      </c>
      <c r="C25" s="248"/>
      <c r="D25" s="248"/>
      <c r="E25" s="247">
        <f t="shared" si="2"/>
        <v>0</v>
      </c>
      <c r="F25" s="248"/>
      <c r="G25" s="248"/>
      <c r="H25" s="249"/>
      <c r="I25" s="428"/>
      <c r="J25" s="428"/>
      <c r="K25" s="428"/>
      <c r="L25" s="428"/>
    </row>
    <row r="26" spans="1:12" x14ac:dyDescent="0.2">
      <c r="A26" s="453" t="s">
        <v>210</v>
      </c>
      <c r="B26" s="247">
        <f t="shared" si="1"/>
        <v>0</v>
      </c>
      <c r="C26" s="248"/>
      <c r="D26" s="248"/>
      <c r="E26" s="247">
        <f t="shared" si="2"/>
        <v>0</v>
      </c>
      <c r="F26" s="248"/>
      <c r="G26" s="248"/>
      <c r="H26" s="249"/>
      <c r="I26" s="428"/>
    </row>
    <row r="27" spans="1:12" x14ac:dyDescent="0.2">
      <c r="A27" s="453" t="s">
        <v>211</v>
      </c>
      <c r="B27" s="247">
        <f t="shared" si="1"/>
        <v>0</v>
      </c>
      <c r="C27" s="248"/>
      <c r="D27" s="248"/>
      <c r="E27" s="247">
        <f t="shared" si="2"/>
        <v>0</v>
      </c>
      <c r="F27" s="248"/>
      <c r="G27" s="248"/>
      <c r="H27" s="456"/>
      <c r="I27" s="457"/>
    </row>
    <row r="28" spans="1:12" x14ac:dyDescent="0.2">
      <c r="A28" s="453" t="s">
        <v>213</v>
      </c>
      <c r="B28" s="247">
        <f>+C28+D28</f>
        <v>0</v>
      </c>
      <c r="C28" s="248"/>
      <c r="D28" s="248"/>
      <c r="E28" s="247">
        <f>+F28+G28</f>
        <v>0</v>
      </c>
      <c r="F28" s="248"/>
      <c r="G28" s="248"/>
      <c r="H28" s="257"/>
    </row>
    <row r="29" spans="1:12" x14ac:dyDescent="0.2">
      <c r="A29" s="453" t="s">
        <v>212</v>
      </c>
      <c r="B29" s="247">
        <f t="shared" si="1"/>
        <v>0</v>
      </c>
      <c r="C29" s="248"/>
      <c r="D29" s="248"/>
      <c r="E29" s="247">
        <f t="shared" si="2"/>
        <v>0</v>
      </c>
      <c r="F29" s="248"/>
      <c r="G29" s="248"/>
      <c r="H29" s="456"/>
      <c r="I29" s="457"/>
    </row>
    <row r="30" spans="1:12" x14ac:dyDescent="0.2">
      <c r="A30" s="453" t="s">
        <v>214</v>
      </c>
      <c r="B30" s="247">
        <f t="shared" si="1"/>
        <v>0</v>
      </c>
      <c r="C30" s="248"/>
      <c r="D30" s="248"/>
      <c r="E30" s="247">
        <f t="shared" si="2"/>
        <v>0</v>
      </c>
      <c r="F30" s="248"/>
      <c r="G30" s="248"/>
      <c r="H30" s="264"/>
    </row>
    <row r="31" spans="1:12" x14ac:dyDescent="0.2">
      <c r="A31" s="453" t="s">
        <v>215</v>
      </c>
      <c r="B31" s="247">
        <f t="shared" si="1"/>
        <v>0</v>
      </c>
      <c r="C31" s="248"/>
      <c r="D31" s="248"/>
      <c r="E31" s="247">
        <f t="shared" si="2"/>
        <v>0</v>
      </c>
      <c r="F31" s="248"/>
      <c r="G31" s="248"/>
      <c r="H31" s="264"/>
    </row>
    <row r="32" spans="1:12" x14ac:dyDescent="0.2">
      <c r="A32" s="453" t="s">
        <v>216</v>
      </c>
      <c r="B32" s="247">
        <f t="shared" si="1"/>
        <v>0</v>
      </c>
      <c r="C32" s="248"/>
      <c r="D32" s="248"/>
      <c r="E32" s="247">
        <f t="shared" si="2"/>
        <v>0</v>
      </c>
      <c r="F32" s="248"/>
      <c r="G32" s="248"/>
      <c r="H32" s="264"/>
    </row>
    <row r="33" spans="1:12" x14ac:dyDescent="0.2">
      <c r="A33" s="453" t="s">
        <v>491</v>
      </c>
      <c r="B33" s="247">
        <f t="shared" si="1"/>
        <v>0</v>
      </c>
      <c r="C33" s="248"/>
      <c r="D33" s="248"/>
      <c r="E33" s="247">
        <f t="shared" si="2"/>
        <v>0</v>
      </c>
      <c r="F33" s="248"/>
      <c r="G33" s="248"/>
      <c r="H33" s="264"/>
    </row>
    <row r="34" spans="1:12" x14ac:dyDescent="0.2">
      <c r="A34" s="453" t="s">
        <v>488</v>
      </c>
      <c r="B34" s="258">
        <f t="shared" si="1"/>
        <v>0</v>
      </c>
      <c r="C34" s="248"/>
      <c r="D34" s="248"/>
      <c r="E34" s="247">
        <f t="shared" si="2"/>
        <v>0</v>
      </c>
      <c r="F34" s="248"/>
      <c r="G34" s="248"/>
      <c r="H34" s="260"/>
      <c r="I34" s="428"/>
      <c r="J34" s="428"/>
      <c r="K34" s="428"/>
      <c r="L34" s="428"/>
    </row>
    <row r="35" spans="1:12" x14ac:dyDescent="0.2">
      <c r="A35" s="453" t="s">
        <v>392</v>
      </c>
      <c r="B35" s="258">
        <f t="shared" si="1"/>
        <v>0</v>
      </c>
      <c r="C35" s="248"/>
      <c r="D35" s="248"/>
      <c r="E35" s="247">
        <f t="shared" si="2"/>
        <v>0</v>
      </c>
      <c r="F35" s="248"/>
      <c r="G35" s="248"/>
      <c r="H35" s="260"/>
      <c r="I35" s="428"/>
      <c r="J35" s="428"/>
      <c r="K35" s="428"/>
      <c r="L35" s="428"/>
    </row>
    <row r="36" spans="1:12" x14ac:dyDescent="0.2">
      <c r="A36" s="453" t="s">
        <v>217</v>
      </c>
      <c r="B36" s="247">
        <f t="shared" si="1"/>
        <v>0</v>
      </c>
      <c r="C36" s="248"/>
      <c r="D36" s="248"/>
      <c r="E36" s="247">
        <f t="shared" si="2"/>
        <v>0</v>
      </c>
      <c r="F36" s="248"/>
      <c r="G36" s="248"/>
      <c r="H36" s="456"/>
      <c r="I36" s="428"/>
      <c r="J36" s="428"/>
      <c r="K36" s="428"/>
      <c r="L36" s="428"/>
    </row>
    <row r="37" spans="1:12" x14ac:dyDescent="0.2">
      <c r="A37" s="453" t="s">
        <v>494</v>
      </c>
      <c r="B37" s="247">
        <f t="shared" si="1"/>
        <v>0</v>
      </c>
      <c r="C37" s="248"/>
      <c r="D37" s="248"/>
      <c r="E37" s="247">
        <f t="shared" si="2"/>
        <v>0</v>
      </c>
      <c r="F37" s="248"/>
      <c r="G37" s="248"/>
      <c r="H37" s="249"/>
      <c r="I37" s="428"/>
      <c r="J37" s="428"/>
      <c r="K37" s="428"/>
      <c r="L37" s="428"/>
    </row>
    <row r="38" spans="1:12" x14ac:dyDescent="0.2">
      <c r="A38" s="453" t="s">
        <v>218</v>
      </c>
      <c r="B38" s="247">
        <f t="shared" si="1"/>
        <v>0</v>
      </c>
      <c r="C38" s="248"/>
      <c r="D38" s="248"/>
      <c r="E38" s="247">
        <f t="shared" si="2"/>
        <v>0</v>
      </c>
      <c r="F38" s="248"/>
      <c r="G38" s="248"/>
      <c r="H38" s="257"/>
      <c r="I38" s="428"/>
      <c r="J38" s="428"/>
      <c r="K38" s="428"/>
      <c r="L38" s="428"/>
    </row>
    <row r="39" spans="1:12" x14ac:dyDescent="0.2">
      <c r="A39" s="453" t="s">
        <v>219</v>
      </c>
      <c r="B39" s="247">
        <f t="shared" si="1"/>
        <v>0</v>
      </c>
      <c r="C39" s="248"/>
      <c r="D39" s="248"/>
      <c r="E39" s="247">
        <f t="shared" si="2"/>
        <v>0</v>
      </c>
      <c r="F39" s="248"/>
      <c r="G39" s="248"/>
      <c r="H39" s="456"/>
      <c r="I39" s="428"/>
      <c r="J39" s="428"/>
      <c r="K39" s="428"/>
      <c r="L39" s="428"/>
    </row>
    <row r="40" spans="1:12" x14ac:dyDescent="0.2">
      <c r="A40" s="453" t="s">
        <v>393</v>
      </c>
      <c r="B40" s="247">
        <f t="shared" si="1"/>
        <v>0</v>
      </c>
      <c r="C40" s="248"/>
      <c r="D40" s="248"/>
      <c r="E40" s="247">
        <f t="shared" si="2"/>
        <v>0</v>
      </c>
      <c r="F40" s="248"/>
      <c r="G40" s="248"/>
      <c r="H40" s="456"/>
      <c r="I40" s="458"/>
      <c r="J40" s="428"/>
      <c r="K40" s="428"/>
      <c r="L40" s="428"/>
    </row>
    <row r="41" spans="1:12" x14ac:dyDescent="0.2">
      <c r="A41" s="453" t="s">
        <v>220</v>
      </c>
      <c r="B41" s="247">
        <f t="shared" si="1"/>
        <v>0</v>
      </c>
      <c r="C41" s="248"/>
      <c r="D41" s="248"/>
      <c r="E41" s="247">
        <f t="shared" si="2"/>
        <v>0</v>
      </c>
      <c r="F41" s="248"/>
      <c r="G41" s="248"/>
      <c r="H41" s="257"/>
      <c r="I41" s="428"/>
      <c r="J41" s="428"/>
      <c r="K41" s="428"/>
      <c r="L41" s="428"/>
    </row>
    <row r="42" spans="1:12" x14ac:dyDescent="0.2">
      <c r="A42" s="453" t="s">
        <v>442</v>
      </c>
      <c r="B42" s="247">
        <f t="shared" si="1"/>
        <v>0</v>
      </c>
      <c r="C42" s="248"/>
      <c r="D42" s="248"/>
      <c r="E42" s="247">
        <f t="shared" si="2"/>
        <v>0</v>
      </c>
      <c r="F42" s="248"/>
      <c r="G42" s="248"/>
      <c r="H42" s="456"/>
      <c r="I42" s="428"/>
      <c r="J42" s="428"/>
      <c r="K42" s="428"/>
      <c r="L42" s="428"/>
    </row>
    <row r="43" spans="1:12" x14ac:dyDescent="0.2">
      <c r="A43" s="453" t="s">
        <v>221</v>
      </c>
      <c r="B43" s="247">
        <f t="shared" si="1"/>
        <v>0</v>
      </c>
      <c r="C43" s="248"/>
      <c r="D43" s="248"/>
      <c r="E43" s="247">
        <f t="shared" si="2"/>
        <v>0</v>
      </c>
      <c r="F43" s="248"/>
      <c r="G43" s="248"/>
      <c r="H43" s="249"/>
      <c r="I43" s="428"/>
      <c r="J43" s="428"/>
      <c r="K43" s="428"/>
      <c r="L43" s="428"/>
    </row>
    <row r="44" spans="1:12" x14ac:dyDescent="0.2">
      <c r="A44" s="453" t="s">
        <v>492</v>
      </c>
      <c r="B44" s="247">
        <f t="shared" si="1"/>
        <v>0</v>
      </c>
      <c r="C44" s="248"/>
      <c r="D44" s="248"/>
      <c r="E44" s="247">
        <f t="shared" si="2"/>
        <v>0</v>
      </c>
      <c r="F44" s="248"/>
      <c r="G44" s="248"/>
      <c r="H44" s="456"/>
      <c r="I44" s="428"/>
      <c r="J44" s="428"/>
      <c r="K44" s="428"/>
      <c r="L44" s="428"/>
    </row>
    <row r="45" spans="1:12" x14ac:dyDescent="0.2">
      <c r="A45" s="453" t="s">
        <v>493</v>
      </c>
      <c r="B45" s="247">
        <f t="shared" si="1"/>
        <v>0</v>
      </c>
      <c r="C45" s="248"/>
      <c r="D45" s="248"/>
      <c r="E45" s="247">
        <f t="shared" si="2"/>
        <v>0</v>
      </c>
      <c r="F45" s="248"/>
      <c r="G45" s="248"/>
      <c r="H45" s="257"/>
      <c r="I45" s="428"/>
      <c r="J45" s="428"/>
      <c r="K45" s="428"/>
      <c r="L45" s="428"/>
    </row>
    <row r="46" spans="1:12" x14ac:dyDescent="0.2">
      <c r="A46" s="453" t="s">
        <v>222</v>
      </c>
      <c r="B46" s="247">
        <f t="shared" si="1"/>
        <v>0</v>
      </c>
      <c r="C46" s="248"/>
      <c r="D46" s="248"/>
      <c r="E46" s="247">
        <f t="shared" si="2"/>
        <v>0</v>
      </c>
      <c r="F46" s="248"/>
      <c r="G46" s="248"/>
      <c r="H46" s="456"/>
      <c r="I46" s="457"/>
      <c r="J46" s="428"/>
      <c r="K46" s="428"/>
      <c r="L46" s="428"/>
    </row>
    <row r="47" spans="1:12" x14ac:dyDescent="0.2">
      <c r="A47" s="454" t="s">
        <v>223</v>
      </c>
      <c r="B47" s="247">
        <f t="shared" si="1"/>
        <v>0</v>
      </c>
      <c r="C47" s="248"/>
      <c r="D47" s="248"/>
      <c r="E47" s="247">
        <f t="shared" si="2"/>
        <v>0</v>
      </c>
      <c r="F47" s="248"/>
      <c r="G47" s="248"/>
      <c r="H47" s="456"/>
      <c r="I47" s="428"/>
      <c r="J47" s="428"/>
      <c r="K47" s="428"/>
      <c r="L47" s="428"/>
    </row>
    <row r="48" spans="1:12" x14ac:dyDescent="0.2">
      <c r="A48" s="454" t="s">
        <v>224</v>
      </c>
      <c r="B48" s="247">
        <f t="shared" si="1"/>
        <v>0</v>
      </c>
      <c r="C48" s="248"/>
      <c r="D48" s="248"/>
      <c r="E48" s="247">
        <f t="shared" si="2"/>
        <v>0</v>
      </c>
      <c r="F48" s="248"/>
      <c r="G48" s="248"/>
      <c r="H48" s="456"/>
      <c r="I48" s="428"/>
      <c r="J48" s="428"/>
      <c r="K48" s="428"/>
      <c r="L48" s="428"/>
    </row>
    <row r="49" spans="1:13" ht="13.5" thickBot="1" x14ac:dyDescent="0.25">
      <c r="A49" s="454" t="s">
        <v>395</v>
      </c>
      <c r="B49" s="247">
        <f t="shared" si="1"/>
        <v>0</v>
      </c>
      <c r="C49" s="248"/>
      <c r="D49" s="248"/>
      <c r="E49" s="247">
        <f t="shared" si="2"/>
        <v>0</v>
      </c>
      <c r="F49" s="248"/>
      <c r="G49" s="248"/>
      <c r="H49" s="459"/>
      <c r="I49" s="428"/>
      <c r="J49" s="428"/>
      <c r="K49" s="428"/>
      <c r="L49" s="428"/>
    </row>
    <row r="50" spans="1:13" ht="13.5" thickBot="1" x14ac:dyDescent="0.25">
      <c r="A50" s="480" t="s">
        <v>225</v>
      </c>
      <c r="B50" s="482">
        <f t="shared" ref="B50:G50" si="4">SUM(B13:B49)</f>
        <v>0</v>
      </c>
      <c r="C50" s="482">
        <f t="shared" si="4"/>
        <v>0</v>
      </c>
      <c r="D50" s="482">
        <f t="shared" si="4"/>
        <v>0</v>
      </c>
      <c r="E50" s="482">
        <f t="shared" si="4"/>
        <v>0</v>
      </c>
      <c r="F50" s="482">
        <f t="shared" si="4"/>
        <v>0</v>
      </c>
      <c r="G50" s="482">
        <f t="shared" si="4"/>
        <v>0</v>
      </c>
      <c r="H50" s="483"/>
      <c r="I50" s="428"/>
      <c r="J50" s="428"/>
      <c r="K50" s="428"/>
      <c r="L50" s="428"/>
    </row>
    <row r="51" spans="1:13" ht="13.5" thickBot="1" x14ac:dyDescent="0.25">
      <c r="A51" s="265" t="s">
        <v>226</v>
      </c>
      <c r="B51" s="247">
        <f>+C51+D51</f>
        <v>0</v>
      </c>
      <c r="C51" s="248">
        <v>0</v>
      </c>
      <c r="D51" s="266"/>
      <c r="E51" s="247">
        <f>+F51+G51</f>
        <v>0</v>
      </c>
      <c r="F51" s="248">
        <v>0</v>
      </c>
      <c r="G51" s="266"/>
      <c r="H51" s="267"/>
      <c r="I51" s="428"/>
      <c r="J51" s="428"/>
      <c r="K51" s="428"/>
      <c r="L51" s="428"/>
    </row>
    <row r="52" spans="1:13" ht="13.5" thickBot="1" x14ac:dyDescent="0.25">
      <c r="A52" s="480" t="s">
        <v>227</v>
      </c>
      <c r="B52" s="481">
        <f t="shared" ref="B52:G52" si="5">B10-B50-B51</f>
        <v>0</v>
      </c>
      <c r="C52" s="481">
        <f t="shared" si="5"/>
        <v>0</v>
      </c>
      <c r="D52" s="481">
        <f t="shared" si="5"/>
        <v>0</v>
      </c>
      <c r="E52" s="481">
        <f t="shared" si="5"/>
        <v>0</v>
      </c>
      <c r="F52" s="481">
        <f t="shared" si="5"/>
        <v>0</v>
      </c>
      <c r="G52" s="481">
        <f t="shared" si="5"/>
        <v>0</v>
      </c>
      <c r="H52" s="482"/>
      <c r="I52" s="428"/>
      <c r="J52" s="428"/>
      <c r="K52" s="428"/>
      <c r="L52" s="428"/>
    </row>
    <row r="53" spans="1:13" ht="13.5" thickBot="1" x14ac:dyDescent="0.25">
      <c r="A53" s="460" t="s">
        <v>228</v>
      </c>
      <c r="B53" s="247">
        <f>+C53+D53</f>
        <v>0</v>
      </c>
      <c r="C53" s="248">
        <v>0</v>
      </c>
      <c r="D53" s="266"/>
      <c r="E53" s="247">
        <f>+F53+G53</f>
        <v>0</v>
      </c>
      <c r="F53" s="248">
        <v>0</v>
      </c>
      <c r="G53" s="266"/>
      <c r="H53" s="267"/>
      <c r="I53" s="268"/>
      <c r="J53" s="428"/>
      <c r="K53" s="428"/>
      <c r="L53" s="428"/>
      <c r="M53" s="428"/>
    </row>
    <row r="54" spans="1:13" ht="13.5" thickBot="1" x14ac:dyDescent="0.25">
      <c r="A54" s="484" t="s">
        <v>229</v>
      </c>
      <c r="B54" s="485">
        <f>+B52-B53</f>
        <v>0</v>
      </c>
      <c r="C54" s="481">
        <f t="shared" ref="C54:D54" si="6">+C52-C53</f>
        <v>0</v>
      </c>
      <c r="D54" s="481">
        <f t="shared" si="6"/>
        <v>0</v>
      </c>
      <c r="E54" s="485">
        <f>+E52-E53</f>
        <v>0</v>
      </c>
      <c r="F54" s="481">
        <f t="shared" ref="F54:G54" si="7">+F52-F53</f>
        <v>0</v>
      </c>
      <c r="G54" s="481">
        <f t="shared" si="7"/>
        <v>0</v>
      </c>
      <c r="H54" s="482"/>
      <c r="I54" s="268"/>
      <c r="J54" s="428"/>
      <c r="K54" s="428"/>
      <c r="L54" s="428"/>
      <c r="M54" s="428"/>
    </row>
    <row r="55" spans="1:13" x14ac:dyDescent="0.2">
      <c r="A55" s="486" t="s">
        <v>443</v>
      </c>
      <c r="B55" s="487">
        <f>+B54*50%</f>
        <v>0</v>
      </c>
      <c r="C55" s="269">
        <v>0</v>
      </c>
      <c r="D55" s="270"/>
      <c r="E55" s="487">
        <f>+E54*50%</f>
        <v>0</v>
      </c>
      <c r="F55" s="269"/>
      <c r="G55" s="270"/>
      <c r="H55" s="269" t="s">
        <v>230</v>
      </c>
    </row>
    <row r="56" spans="1:13" ht="13.5" thickBot="1" x14ac:dyDescent="0.25">
      <c r="A56" s="488" t="s">
        <v>443</v>
      </c>
      <c r="B56" s="489">
        <f>+B54-B55</f>
        <v>0</v>
      </c>
      <c r="C56" s="271">
        <f>C54-C55</f>
        <v>0</v>
      </c>
      <c r="D56" s="272"/>
      <c r="E56" s="489">
        <f>+E54-E55</f>
        <v>0</v>
      </c>
      <c r="F56" s="271">
        <f>F54-F55+F34+F18</f>
        <v>0</v>
      </c>
      <c r="G56" s="272"/>
      <c r="H56" s="269" t="s">
        <v>231</v>
      </c>
    </row>
    <row r="57" spans="1:13" x14ac:dyDescent="0.2">
      <c r="D57" s="273"/>
      <c r="E57" s="223"/>
      <c r="G57" s="273"/>
    </row>
    <row r="58" spans="1:13" x14ac:dyDescent="0.2">
      <c r="A58" s="274"/>
    </row>
    <row r="59" spans="1:13" x14ac:dyDescent="0.2">
      <c r="A59" s="274"/>
    </row>
    <row r="60" spans="1:13" x14ac:dyDescent="0.2">
      <c r="A60" s="274"/>
    </row>
  </sheetData>
  <mergeCells count="2">
    <mergeCell ref="B4:D4"/>
    <mergeCell ref="E4:G4"/>
  </mergeCell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5873E6-9493-471D-99A6-7A8A19DBA89A}">
  <dimension ref="C2:K34"/>
  <sheetViews>
    <sheetView workbookViewId="0">
      <selection activeCell="C10" sqref="C10:I12"/>
    </sheetView>
  </sheetViews>
  <sheetFormatPr defaultRowHeight="12.75" x14ac:dyDescent="0.2"/>
  <cols>
    <col min="3" max="3" width="37.28515625" bestFit="1" customWidth="1"/>
    <col min="4" max="7" width="14" style="497" customWidth="1"/>
    <col min="8" max="8" width="54.28515625" bestFit="1" customWidth="1"/>
    <col min="9" max="9" width="26.28515625" customWidth="1"/>
  </cols>
  <sheetData>
    <row r="2" spans="3:11" x14ac:dyDescent="0.2">
      <c r="C2" s="154" t="s">
        <v>532</v>
      </c>
    </row>
    <row r="3" spans="3:11" x14ac:dyDescent="0.2">
      <c r="C3" s="154" t="s">
        <v>529</v>
      </c>
    </row>
    <row r="4" spans="3:11" x14ac:dyDescent="0.2">
      <c r="C4" s="154" t="s">
        <v>530</v>
      </c>
    </row>
    <row r="5" spans="3:11" x14ac:dyDescent="0.2">
      <c r="C5" s="154" t="s">
        <v>534</v>
      </c>
    </row>
    <row r="6" spans="3:11" x14ac:dyDescent="0.2">
      <c r="C6" s="154" t="s">
        <v>535</v>
      </c>
    </row>
    <row r="7" spans="3:11" x14ac:dyDescent="0.2">
      <c r="C7" t="s">
        <v>531</v>
      </c>
    </row>
    <row r="8" spans="3:11" x14ac:dyDescent="0.2">
      <c r="K8" s="154"/>
    </row>
    <row r="9" spans="3:11" x14ac:dyDescent="0.2">
      <c r="K9" s="154"/>
    </row>
    <row r="10" spans="3:11" ht="12.75" customHeight="1" x14ac:dyDescent="0.2">
      <c r="C10" s="566" t="s">
        <v>533</v>
      </c>
      <c r="D10" s="567"/>
      <c r="E10" s="567"/>
      <c r="F10" s="567"/>
      <c r="G10" s="567"/>
      <c r="H10" s="567"/>
      <c r="I10" s="568"/>
      <c r="K10" s="154"/>
    </row>
    <row r="11" spans="3:11" ht="12.75" customHeight="1" x14ac:dyDescent="0.2">
      <c r="C11" s="569"/>
      <c r="D11" s="570"/>
      <c r="E11" s="570"/>
      <c r="F11" s="570"/>
      <c r="G11" s="570"/>
      <c r="H11" s="570"/>
      <c r="I11" s="571"/>
      <c r="K11" s="154"/>
    </row>
    <row r="12" spans="3:11" ht="12.75" customHeight="1" x14ac:dyDescent="0.2">
      <c r="C12" s="572"/>
      <c r="D12" s="573"/>
      <c r="E12" s="573"/>
      <c r="F12" s="573"/>
      <c r="G12" s="573"/>
      <c r="H12" s="573"/>
      <c r="I12" s="574"/>
    </row>
    <row r="13" spans="3:11" ht="51" x14ac:dyDescent="0.2">
      <c r="C13" s="535" t="s">
        <v>496</v>
      </c>
      <c r="D13" s="536" t="s">
        <v>497</v>
      </c>
      <c r="E13" s="536" t="s">
        <v>498</v>
      </c>
      <c r="F13" s="536" t="s">
        <v>499</v>
      </c>
      <c r="G13" s="536" t="s">
        <v>500</v>
      </c>
      <c r="H13" s="535" t="s">
        <v>501</v>
      </c>
      <c r="I13" s="536" t="s">
        <v>10</v>
      </c>
    </row>
    <row r="14" spans="3:11" ht="16.5" customHeight="1" x14ac:dyDescent="0.2">
      <c r="C14" s="499" t="s">
        <v>502</v>
      </c>
      <c r="D14" s="510"/>
      <c r="E14" s="510"/>
      <c r="F14" s="510"/>
      <c r="G14" s="510"/>
      <c r="H14" s="499" t="s">
        <v>503</v>
      </c>
      <c r="I14" s="384"/>
    </row>
    <row r="15" spans="3:11" ht="16.5" customHeight="1" x14ac:dyDescent="0.2">
      <c r="C15" s="499" t="s">
        <v>504</v>
      </c>
      <c r="D15" s="510"/>
      <c r="E15" s="510"/>
      <c r="F15" s="510"/>
      <c r="G15" s="510"/>
      <c r="H15" s="499" t="s">
        <v>505</v>
      </c>
      <c r="I15" s="384"/>
    </row>
    <row r="16" spans="3:11" ht="16.5" customHeight="1" x14ac:dyDescent="0.2">
      <c r="C16" s="499" t="s">
        <v>506</v>
      </c>
      <c r="D16" s="510"/>
      <c r="E16" s="510"/>
      <c r="F16" s="510"/>
      <c r="G16" s="510"/>
      <c r="H16" s="499" t="s">
        <v>507</v>
      </c>
      <c r="I16" s="384"/>
    </row>
    <row r="17" spans="3:9" ht="16.5" customHeight="1" x14ac:dyDescent="0.2">
      <c r="C17" s="499" t="s">
        <v>508</v>
      </c>
      <c r="D17" s="510"/>
      <c r="E17" s="510"/>
      <c r="F17" s="510"/>
      <c r="G17" s="510"/>
      <c r="H17" s="499" t="s">
        <v>509</v>
      </c>
      <c r="I17" s="384"/>
    </row>
    <row r="18" spans="3:9" ht="16.5" customHeight="1" x14ac:dyDescent="0.2">
      <c r="C18" s="499" t="s">
        <v>510</v>
      </c>
      <c r="D18" s="510"/>
      <c r="E18" s="510"/>
      <c r="F18" s="510"/>
      <c r="G18" s="510"/>
      <c r="H18" s="499" t="s">
        <v>511</v>
      </c>
      <c r="I18" s="384"/>
    </row>
    <row r="19" spans="3:9" ht="16.5" customHeight="1" x14ac:dyDescent="0.2">
      <c r="C19" s="499" t="s">
        <v>512</v>
      </c>
      <c r="D19" s="510"/>
      <c r="E19" s="510"/>
      <c r="F19" s="510"/>
      <c r="G19" s="510"/>
      <c r="H19" s="499" t="s">
        <v>513</v>
      </c>
      <c r="I19" s="384"/>
    </row>
    <row r="20" spans="3:9" ht="16.5" customHeight="1" x14ac:dyDescent="0.2">
      <c r="C20" s="499" t="s">
        <v>514</v>
      </c>
      <c r="D20" s="510"/>
      <c r="E20" s="510"/>
      <c r="F20" s="510"/>
      <c r="G20" s="510"/>
      <c r="H20" s="499" t="s">
        <v>515</v>
      </c>
      <c r="I20" s="384"/>
    </row>
    <row r="21" spans="3:9" ht="16.5" customHeight="1" x14ac:dyDescent="0.2">
      <c r="C21" s="499" t="s">
        <v>495</v>
      </c>
      <c r="D21" s="510"/>
      <c r="E21" s="510"/>
      <c r="F21" s="510"/>
      <c r="G21" s="510"/>
      <c r="H21" s="499"/>
      <c r="I21" s="384"/>
    </row>
    <row r="22" spans="3:9" ht="16.5" customHeight="1" x14ac:dyDescent="0.2">
      <c r="C22" s="499" t="s">
        <v>495</v>
      </c>
      <c r="D22" s="510"/>
      <c r="E22" s="510"/>
      <c r="F22" s="510"/>
      <c r="G22" s="510"/>
      <c r="H22" s="499"/>
      <c r="I22" s="384"/>
    </row>
    <row r="23" spans="3:9" ht="16.5" customHeight="1" x14ac:dyDescent="0.2">
      <c r="C23" s="499" t="s">
        <v>495</v>
      </c>
      <c r="D23" s="510"/>
      <c r="E23" s="510"/>
      <c r="F23" s="510"/>
      <c r="G23" s="510"/>
      <c r="H23" s="499"/>
      <c r="I23" s="384"/>
    </row>
    <row r="24" spans="3:9" ht="16.5" customHeight="1" x14ac:dyDescent="0.2">
      <c r="C24" s="500" t="s">
        <v>516</v>
      </c>
      <c r="D24" s="512">
        <v>0</v>
      </c>
      <c r="E24" s="512">
        <v>0</v>
      </c>
      <c r="F24" s="512">
        <v>0</v>
      </c>
      <c r="G24" s="512">
        <v>0</v>
      </c>
      <c r="H24" s="499"/>
      <c r="I24" s="384"/>
    </row>
    <row r="26" spans="3:9" ht="25.5" x14ac:dyDescent="0.2">
      <c r="C26" s="498" t="s">
        <v>285</v>
      </c>
      <c r="D26" s="505" t="s">
        <v>141</v>
      </c>
      <c r="E26" s="501" t="s">
        <v>501</v>
      </c>
      <c r="F26" s="502"/>
      <c r="G26" s="503"/>
    </row>
    <row r="27" spans="3:9" x14ac:dyDescent="0.2">
      <c r="C27" s="506" t="s">
        <v>517</v>
      </c>
      <c r="D27" s="508">
        <f>E24+F24</f>
        <v>0</v>
      </c>
      <c r="E27" s="513" t="s">
        <v>518</v>
      </c>
      <c r="F27" s="514"/>
      <c r="G27" s="515"/>
    </row>
    <row r="28" spans="3:9" x14ac:dyDescent="0.2">
      <c r="C28" s="506" t="s">
        <v>519</v>
      </c>
      <c r="D28" s="508">
        <f>G24</f>
        <v>0</v>
      </c>
      <c r="E28" s="490" t="s">
        <v>520</v>
      </c>
      <c r="G28" s="504"/>
    </row>
    <row r="29" spans="3:9" ht="25.5" x14ac:dyDescent="0.2">
      <c r="C29" s="507" t="s">
        <v>521</v>
      </c>
      <c r="D29" s="509">
        <f>SUM(D27:D28)</f>
        <v>0</v>
      </c>
      <c r="E29" s="513"/>
      <c r="F29" s="514"/>
      <c r="G29" s="515"/>
    </row>
    <row r="30" spans="3:9" x14ac:dyDescent="0.2">
      <c r="C30" s="506" t="s">
        <v>522</v>
      </c>
      <c r="D30" s="508">
        <v>0</v>
      </c>
      <c r="E30" s="490" t="s">
        <v>523</v>
      </c>
      <c r="G30" s="504"/>
    </row>
    <row r="31" spans="3:9" x14ac:dyDescent="0.2">
      <c r="C31" s="507" t="s">
        <v>524</v>
      </c>
      <c r="D31" s="509">
        <f>SUM(D29:D30)</f>
        <v>0</v>
      </c>
      <c r="E31" s="513" t="s">
        <v>525</v>
      </c>
      <c r="F31" s="514"/>
      <c r="G31" s="515"/>
    </row>
    <row r="32" spans="3:9" x14ac:dyDescent="0.2">
      <c r="C32" s="384"/>
      <c r="D32" s="510"/>
      <c r="G32" s="504"/>
    </row>
    <row r="33" spans="3:7" x14ac:dyDescent="0.2">
      <c r="C33" s="499" t="s">
        <v>526</v>
      </c>
      <c r="D33" s="511">
        <f>D31/2</f>
        <v>0</v>
      </c>
      <c r="E33" s="513" t="s">
        <v>528</v>
      </c>
      <c r="F33" s="514"/>
      <c r="G33" s="515"/>
    </row>
    <row r="34" spans="3:7" ht="25.5" customHeight="1" x14ac:dyDescent="0.2">
      <c r="C34" s="516" t="s">
        <v>167</v>
      </c>
      <c r="D34" s="517">
        <f>SUM(D31:D33)</f>
        <v>0</v>
      </c>
      <c r="E34" s="518" t="s">
        <v>527</v>
      </c>
      <c r="F34" s="519"/>
      <c r="G34" s="520"/>
    </row>
  </sheetData>
  <mergeCells count="1">
    <mergeCell ref="C10:I12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F87"/>
  <sheetViews>
    <sheetView zoomScale="80" zoomScaleNormal="80" workbookViewId="0">
      <pane xSplit="2" ySplit="9" topLeftCell="C67" activePane="bottomRight" state="frozen"/>
      <selection pane="topRight" activeCell="C1" sqref="C1"/>
      <selection pane="bottomLeft" activeCell="A10" sqref="A10"/>
      <selection pane="bottomRight" activeCell="C86" sqref="C86"/>
    </sheetView>
  </sheetViews>
  <sheetFormatPr defaultRowHeight="12.75" x14ac:dyDescent="0.2"/>
  <cols>
    <col min="1" max="1" width="4" style="196" customWidth="1"/>
    <col min="2" max="2" width="124.28515625" style="196" bestFit="1" customWidth="1"/>
    <col min="3" max="3" width="15.140625" style="196" customWidth="1"/>
    <col min="4" max="4" width="9.42578125" style="196" customWidth="1"/>
    <col min="5" max="5" width="15.42578125" style="196" customWidth="1"/>
    <col min="6" max="6" width="10.140625" style="196" bestFit="1" customWidth="1"/>
  </cols>
  <sheetData>
    <row r="1" spans="1:6" s="490" customFormat="1" ht="18" customHeight="1" x14ac:dyDescent="0.2">
      <c r="B1" s="537" t="s">
        <v>195</v>
      </c>
      <c r="C1" s="538"/>
      <c r="D1" s="427" t="s">
        <v>181</v>
      </c>
      <c r="E1" s="445"/>
    </row>
    <row r="2" spans="1:6" x14ac:dyDescent="0.2">
      <c r="B2" s="197"/>
      <c r="C2" s="198"/>
      <c r="D2" s="199"/>
      <c r="E2" s="199"/>
    </row>
    <row r="3" spans="1:6" x14ac:dyDescent="0.2">
      <c r="B3" s="154" t="s">
        <v>445</v>
      </c>
      <c r="C3" s="447">
        <v>1</v>
      </c>
      <c r="D3"/>
      <c r="E3" s="199"/>
      <c r="F3"/>
    </row>
    <row r="4" spans="1:6" x14ac:dyDescent="0.2">
      <c r="B4" s="154" t="s">
        <v>446</v>
      </c>
      <c r="C4" s="200"/>
      <c r="D4" s="201"/>
      <c r="E4" s="199"/>
    </row>
    <row r="5" spans="1:6" x14ac:dyDescent="0.2">
      <c r="B5" s="154" t="s">
        <v>447</v>
      </c>
      <c r="C5" s="202"/>
      <c r="D5" s="203">
        <f>C6-C5</f>
        <v>0</v>
      </c>
      <c r="E5" s="204" t="s">
        <v>182</v>
      </c>
    </row>
    <row r="6" spans="1:6" x14ac:dyDescent="0.2">
      <c r="B6" s="154" t="s">
        <v>448</v>
      </c>
      <c r="C6" s="200"/>
      <c r="D6" s="203">
        <f>+C6-C4</f>
        <v>0</v>
      </c>
      <c r="E6" s="204" t="s">
        <v>183</v>
      </c>
    </row>
    <row r="7" spans="1:6" ht="13.5" thickBot="1" x14ac:dyDescent="0.25">
      <c r="B7" s="154" t="s">
        <v>449</v>
      </c>
      <c r="C7" s="205" t="s">
        <v>444</v>
      </c>
      <c r="D7" s="206" t="e">
        <f>D5/D6</f>
        <v>#DIV/0!</v>
      </c>
      <c r="E7" s="195" t="s">
        <v>184</v>
      </c>
      <c r="F7" s="207" t="e">
        <f>(C13-C72)*(100%-D7)</f>
        <v>#DIV/0!</v>
      </c>
    </row>
    <row r="8" spans="1:6" ht="13.5" thickTop="1" x14ac:dyDescent="0.2">
      <c r="B8" s="211" t="s">
        <v>450</v>
      </c>
      <c r="C8" s="205"/>
      <c r="D8" s="208"/>
      <c r="E8" s="195"/>
      <c r="F8" s="207"/>
    </row>
    <row r="9" spans="1:6" x14ac:dyDescent="0.2">
      <c r="B9" s="211" t="s">
        <v>451</v>
      </c>
      <c r="C9" s="205"/>
      <c r="D9" s="208"/>
      <c r="E9" s="195"/>
      <c r="F9" s="207"/>
    </row>
    <row r="10" spans="1:6" x14ac:dyDescent="0.2">
      <c r="B10" s="154"/>
      <c r="C10" s="205"/>
      <c r="D10" s="208"/>
      <c r="E10" s="195"/>
    </row>
    <row r="11" spans="1:6" x14ac:dyDescent="0.2">
      <c r="B11" s="209" t="s">
        <v>185</v>
      </c>
    </row>
    <row r="12" spans="1:6" x14ac:dyDescent="0.2">
      <c r="B12" s="154" t="s">
        <v>186</v>
      </c>
      <c r="C12" s="210"/>
      <c r="F12" s="201"/>
    </row>
    <row r="13" spans="1:6" ht="13.5" thickBot="1" x14ac:dyDescent="0.25">
      <c r="B13" s="194" t="s">
        <v>187</v>
      </c>
      <c r="C13" s="212">
        <f>SUM(C12:C12)</f>
        <v>0</v>
      </c>
      <c r="D13" s="207"/>
      <c r="E13" s="211"/>
      <c r="F13" s="213"/>
    </row>
    <row r="14" spans="1:6" x14ac:dyDescent="0.2">
      <c r="A14" s="446"/>
      <c r="C14" s="210"/>
    </row>
    <row r="15" spans="1:6" x14ac:dyDescent="0.2">
      <c r="B15" s="214" t="s">
        <v>188</v>
      </c>
      <c r="C15" s="210"/>
    </row>
    <row r="16" spans="1:6" x14ac:dyDescent="0.2">
      <c r="A16" s="211">
        <v>1</v>
      </c>
      <c r="B16" s="154" t="s">
        <v>459</v>
      </c>
      <c r="C16" s="215">
        <f>+C17</f>
        <v>0</v>
      </c>
    </row>
    <row r="17" spans="1:3" x14ac:dyDescent="0.2">
      <c r="A17" s="211"/>
      <c r="B17" t="s">
        <v>452</v>
      </c>
      <c r="C17" s="210">
        <v>0</v>
      </c>
    </row>
    <row r="18" spans="1:3" x14ac:dyDescent="0.2">
      <c r="A18" s="211"/>
      <c r="B18" s="211"/>
      <c r="C18" s="216"/>
    </row>
    <row r="19" spans="1:3" x14ac:dyDescent="0.2">
      <c r="A19" s="211">
        <v>2</v>
      </c>
      <c r="B19" s="211" t="s">
        <v>460</v>
      </c>
      <c r="C19" s="216"/>
    </row>
    <row r="20" spans="1:3" x14ac:dyDescent="0.2">
      <c r="A20" s="211" t="s">
        <v>456</v>
      </c>
      <c r="B20" s="211" t="s">
        <v>189</v>
      </c>
      <c r="C20" s="217">
        <f>+SUM(C21:C31)</f>
        <v>0</v>
      </c>
    </row>
    <row r="21" spans="1:3" x14ac:dyDescent="0.2">
      <c r="A21" s="211"/>
      <c r="B21" s="196" t="s">
        <v>407</v>
      </c>
      <c r="C21" s="218">
        <v>0</v>
      </c>
    </row>
    <row r="22" spans="1:3" x14ac:dyDescent="0.2">
      <c r="A22" s="211"/>
      <c r="B22" s="196" t="s">
        <v>396</v>
      </c>
      <c r="C22" s="218">
        <v>0</v>
      </c>
    </row>
    <row r="23" spans="1:3" x14ac:dyDescent="0.2">
      <c r="A23" s="211"/>
      <c r="B23" s="196" t="s">
        <v>408</v>
      </c>
      <c r="C23" s="218">
        <v>0</v>
      </c>
    </row>
    <row r="24" spans="1:3" x14ac:dyDescent="0.2">
      <c r="A24" s="211"/>
      <c r="B24" s="196" t="s">
        <v>411</v>
      </c>
      <c r="C24" s="218">
        <v>0</v>
      </c>
    </row>
    <row r="25" spans="1:3" x14ac:dyDescent="0.2">
      <c r="A25" s="211"/>
      <c r="B25" s="196" t="s">
        <v>469</v>
      </c>
      <c r="C25" s="218">
        <v>0</v>
      </c>
    </row>
    <row r="26" spans="1:3" x14ac:dyDescent="0.2">
      <c r="A26" s="211"/>
      <c r="B26" t="s">
        <v>485</v>
      </c>
      <c r="C26" s="218">
        <v>0</v>
      </c>
    </row>
    <row r="27" spans="1:3" x14ac:dyDescent="0.2">
      <c r="A27" s="211"/>
      <c r="B27" s="196" t="s">
        <v>409</v>
      </c>
      <c r="C27" s="218">
        <v>0</v>
      </c>
    </row>
    <row r="28" spans="1:3" x14ac:dyDescent="0.2">
      <c r="A28" s="211"/>
      <c r="B28" s="196" t="s">
        <v>406</v>
      </c>
      <c r="C28" s="218">
        <v>0</v>
      </c>
    </row>
    <row r="29" spans="1:3" x14ac:dyDescent="0.2">
      <c r="A29" s="211"/>
      <c r="B29" s="196" t="s">
        <v>410</v>
      </c>
      <c r="C29" s="218">
        <v>0</v>
      </c>
    </row>
    <row r="30" spans="1:3" x14ac:dyDescent="0.2">
      <c r="A30" s="211"/>
      <c r="B30" t="s">
        <v>405</v>
      </c>
      <c r="C30" s="218">
        <v>0</v>
      </c>
    </row>
    <row r="31" spans="1:3" x14ac:dyDescent="0.2">
      <c r="A31" s="211"/>
      <c r="B31" t="s">
        <v>413</v>
      </c>
      <c r="C31" s="218">
        <v>0</v>
      </c>
    </row>
    <row r="32" spans="1:3" x14ac:dyDescent="0.2">
      <c r="A32" s="211"/>
      <c r="C32" s="216"/>
    </row>
    <row r="33" spans="1:6" x14ac:dyDescent="0.2">
      <c r="A33" s="211" t="s">
        <v>457</v>
      </c>
      <c r="B33" s="154" t="s">
        <v>190</v>
      </c>
      <c r="C33" s="217">
        <f>+SUM(C34:C40)</f>
        <v>0</v>
      </c>
    </row>
    <row r="34" spans="1:6" x14ac:dyDescent="0.2">
      <c r="A34" s="211"/>
      <c r="B34" s="196" t="s">
        <v>396</v>
      </c>
      <c r="C34" s="218">
        <v>0</v>
      </c>
    </row>
    <row r="35" spans="1:6" x14ac:dyDescent="0.2">
      <c r="A35" s="211"/>
      <c r="B35" s="196" t="s">
        <v>403</v>
      </c>
      <c r="C35" s="218">
        <v>0</v>
      </c>
      <c r="E35" s="220"/>
    </row>
    <row r="36" spans="1:6" x14ac:dyDescent="0.2">
      <c r="A36" s="211"/>
      <c r="B36" t="s">
        <v>404</v>
      </c>
      <c r="C36" s="218">
        <v>0</v>
      </c>
      <c r="E36" s="220"/>
    </row>
    <row r="37" spans="1:6" x14ac:dyDescent="0.2">
      <c r="A37" s="211"/>
      <c r="B37" s="196" t="s">
        <v>409</v>
      </c>
      <c r="C37" s="218">
        <v>0</v>
      </c>
    </row>
    <row r="38" spans="1:6" x14ac:dyDescent="0.2">
      <c r="A38" s="211"/>
      <c r="B38" t="s">
        <v>405</v>
      </c>
      <c r="C38" s="218">
        <v>0</v>
      </c>
    </row>
    <row r="39" spans="1:6" x14ac:dyDescent="0.2">
      <c r="A39" s="211"/>
      <c r="B39" t="s">
        <v>485</v>
      </c>
      <c r="C39" s="218">
        <v>0</v>
      </c>
    </row>
    <row r="40" spans="1:6" x14ac:dyDescent="0.2">
      <c r="A40" s="211"/>
      <c r="B40" t="s">
        <v>412</v>
      </c>
      <c r="C40" s="218">
        <v>0</v>
      </c>
    </row>
    <row r="41" spans="1:6" x14ac:dyDescent="0.2">
      <c r="A41" s="211"/>
      <c r="B41"/>
      <c r="C41" s="219"/>
    </row>
    <row r="42" spans="1:6" x14ac:dyDescent="0.2">
      <c r="A42" s="211">
        <v>3</v>
      </c>
      <c r="B42" s="154" t="s">
        <v>458</v>
      </c>
      <c r="C42" s="221">
        <f>+SUM(C43:C50)</f>
        <v>0</v>
      </c>
      <c r="F42" s="222"/>
    </row>
    <row r="43" spans="1:6" x14ac:dyDescent="0.2">
      <c r="A43" s="211"/>
      <c r="B43" t="s">
        <v>397</v>
      </c>
      <c r="C43" s="218">
        <v>0</v>
      </c>
    </row>
    <row r="44" spans="1:6" x14ac:dyDescent="0.2">
      <c r="A44" s="211"/>
      <c r="B44" t="s">
        <v>398</v>
      </c>
      <c r="C44" s="218">
        <v>0</v>
      </c>
    </row>
    <row r="45" spans="1:6" x14ac:dyDescent="0.2">
      <c r="A45" s="211"/>
      <c r="B45" t="s">
        <v>401</v>
      </c>
      <c r="C45" s="218">
        <v>0</v>
      </c>
    </row>
    <row r="46" spans="1:6" x14ac:dyDescent="0.2">
      <c r="A46" s="211"/>
      <c r="B46" t="s">
        <v>402</v>
      </c>
      <c r="C46" s="218">
        <v>0</v>
      </c>
    </row>
    <row r="47" spans="1:6" x14ac:dyDescent="0.2">
      <c r="A47" s="211"/>
      <c r="B47" t="s">
        <v>454</v>
      </c>
      <c r="C47" s="218">
        <v>0</v>
      </c>
    </row>
    <row r="48" spans="1:6" x14ac:dyDescent="0.2">
      <c r="A48" s="211"/>
      <c r="B48" t="s">
        <v>483</v>
      </c>
      <c r="C48" s="218">
        <v>0</v>
      </c>
    </row>
    <row r="49" spans="1:5" x14ac:dyDescent="0.2">
      <c r="A49" s="211"/>
      <c r="B49" s="196" t="s">
        <v>484</v>
      </c>
      <c r="C49" s="218">
        <v>0</v>
      </c>
    </row>
    <row r="50" spans="1:5" x14ac:dyDescent="0.2">
      <c r="A50" s="211"/>
      <c r="B50" t="s">
        <v>455</v>
      </c>
      <c r="C50" s="218">
        <v>0</v>
      </c>
    </row>
    <row r="51" spans="1:5" x14ac:dyDescent="0.2">
      <c r="A51" s="211"/>
      <c r="B51" s="154"/>
      <c r="C51" s="219"/>
    </row>
    <row r="52" spans="1:5" x14ac:dyDescent="0.2">
      <c r="A52" s="211">
        <v>4</v>
      </c>
      <c r="B52" s="154" t="s">
        <v>461</v>
      </c>
      <c r="C52" s="221">
        <f>+SUM(C53:C65)</f>
        <v>0</v>
      </c>
      <c r="E52" s="220"/>
    </row>
    <row r="53" spans="1:5" x14ac:dyDescent="0.2">
      <c r="A53" s="211"/>
      <c r="B53" t="s">
        <v>399</v>
      </c>
      <c r="C53" s="218">
        <v>0</v>
      </c>
      <c r="D53" s="199"/>
    </row>
    <row r="54" spans="1:5" x14ac:dyDescent="0.2">
      <c r="A54" s="211"/>
      <c r="B54" t="s">
        <v>400</v>
      </c>
      <c r="C54" s="218">
        <v>0</v>
      </c>
      <c r="D54" s="199"/>
    </row>
    <row r="55" spans="1:5" x14ac:dyDescent="0.2">
      <c r="A55" s="211"/>
      <c r="B55" t="s">
        <v>470</v>
      </c>
      <c r="C55" s="218">
        <v>0</v>
      </c>
      <c r="D55" s="199"/>
    </row>
    <row r="56" spans="1:5" x14ac:dyDescent="0.2">
      <c r="A56" s="211"/>
      <c r="B56" t="s">
        <v>471</v>
      </c>
      <c r="C56" s="218">
        <v>0</v>
      </c>
      <c r="D56" s="199"/>
    </row>
    <row r="57" spans="1:5" x14ac:dyDescent="0.2">
      <c r="A57" s="211"/>
      <c r="B57" s="493" t="s">
        <v>462</v>
      </c>
      <c r="C57" s="218">
        <v>0</v>
      </c>
    </row>
    <row r="58" spans="1:5" x14ac:dyDescent="0.2">
      <c r="A58" s="211"/>
      <c r="B58" s="496" t="s">
        <v>475</v>
      </c>
      <c r="C58" s="218">
        <v>0</v>
      </c>
    </row>
    <row r="59" spans="1:5" x14ac:dyDescent="0.2">
      <c r="A59" s="211"/>
      <c r="B59" s="493" t="s">
        <v>463</v>
      </c>
      <c r="C59" s="218">
        <v>0</v>
      </c>
      <c r="D59" s="199"/>
    </row>
    <row r="60" spans="1:5" x14ac:dyDescent="0.2">
      <c r="A60" s="211"/>
      <c r="B60" s="496" t="s">
        <v>476</v>
      </c>
      <c r="C60" s="218">
        <v>0</v>
      </c>
      <c r="D60" s="199"/>
    </row>
    <row r="61" spans="1:5" x14ac:dyDescent="0.2">
      <c r="A61" s="211"/>
      <c r="B61" s="493" t="s">
        <v>472</v>
      </c>
      <c r="C61" s="218">
        <v>0</v>
      </c>
    </row>
    <row r="62" spans="1:5" x14ac:dyDescent="0.2">
      <c r="A62" s="211"/>
      <c r="B62" s="494" t="s">
        <v>475</v>
      </c>
      <c r="C62" s="218">
        <v>0</v>
      </c>
      <c r="D62" s="223"/>
    </row>
    <row r="63" spans="1:5" x14ac:dyDescent="0.2">
      <c r="A63" s="211"/>
      <c r="B63" s="495" t="s">
        <v>474</v>
      </c>
      <c r="C63" s="218">
        <v>0</v>
      </c>
    </row>
    <row r="64" spans="1:5" x14ac:dyDescent="0.2">
      <c r="A64" s="211"/>
      <c r="B64" s="493" t="s">
        <v>473</v>
      </c>
      <c r="C64" s="218">
        <v>0</v>
      </c>
    </row>
    <row r="65" spans="1:6" x14ac:dyDescent="0.2">
      <c r="A65" s="211"/>
      <c r="B65" s="494" t="s">
        <v>476</v>
      </c>
      <c r="C65" s="218">
        <v>0</v>
      </c>
      <c r="D65" s="223"/>
    </row>
    <row r="66" spans="1:6" x14ac:dyDescent="0.2">
      <c r="A66" s="211"/>
      <c r="B66" s="495" t="s">
        <v>477</v>
      </c>
      <c r="C66" s="218">
        <v>0</v>
      </c>
    </row>
    <row r="67" spans="1:6" x14ac:dyDescent="0.2">
      <c r="A67" s="211"/>
      <c r="B67" s="154"/>
      <c r="C67" s="219"/>
    </row>
    <row r="68" spans="1:6" x14ac:dyDescent="0.2">
      <c r="A68" s="211">
        <v>5</v>
      </c>
      <c r="B68" s="154" t="s">
        <v>464</v>
      </c>
      <c r="C68" s="221">
        <f>+SUM(C69:C70)</f>
        <v>0</v>
      </c>
      <c r="E68" s="220"/>
    </row>
    <row r="69" spans="1:6" x14ac:dyDescent="0.2">
      <c r="A69" s="211"/>
      <c r="B69" s="196" t="s">
        <v>465</v>
      </c>
      <c r="C69" s="218">
        <v>0</v>
      </c>
    </row>
    <row r="70" spans="1:6" x14ac:dyDescent="0.2">
      <c r="A70" s="211"/>
      <c r="B70" s="196" t="s">
        <v>466</v>
      </c>
      <c r="C70" s="218">
        <v>0</v>
      </c>
    </row>
    <row r="71" spans="1:6" x14ac:dyDescent="0.2">
      <c r="A71" s="211"/>
      <c r="C71" s="218"/>
    </row>
    <row r="72" spans="1:6" ht="13.5" thickBot="1" x14ac:dyDescent="0.25">
      <c r="A72" s="211"/>
      <c r="B72" s="194" t="s">
        <v>191</v>
      </c>
      <c r="C72" s="212">
        <f>+C16+C20+C42+C52+C33+C68</f>
        <v>0</v>
      </c>
      <c r="E72" s="207"/>
      <c r="F72" s="207"/>
    </row>
    <row r="73" spans="1:6" x14ac:dyDescent="0.2">
      <c r="A73" s="211"/>
      <c r="C73" s="224"/>
    </row>
    <row r="74" spans="1:6" ht="13.5" thickBot="1" x14ac:dyDescent="0.25">
      <c r="A74" s="211"/>
      <c r="B74" s="194" t="s">
        <v>478</v>
      </c>
      <c r="C74" s="212">
        <f>(C13-C72)</f>
        <v>0</v>
      </c>
      <c r="D74" s="225"/>
      <c r="E74" s="207"/>
      <c r="F74" s="207"/>
    </row>
    <row r="75" spans="1:6" x14ac:dyDescent="0.2">
      <c r="A75" s="211"/>
    </row>
    <row r="76" spans="1:6" x14ac:dyDescent="0.2">
      <c r="A76" s="211"/>
      <c r="B76" s="154" t="s">
        <v>192</v>
      </c>
      <c r="C76" s="226">
        <v>1</v>
      </c>
    </row>
    <row r="77" spans="1:6" ht="13.5" thickBot="1" x14ac:dyDescent="0.25">
      <c r="A77" s="211"/>
      <c r="B77" s="194" t="s">
        <v>479</v>
      </c>
      <c r="C77" s="212">
        <f>C74*C76</f>
        <v>0</v>
      </c>
    </row>
    <row r="78" spans="1:6" x14ac:dyDescent="0.2">
      <c r="A78" s="211"/>
    </row>
    <row r="79" spans="1:6" x14ac:dyDescent="0.2">
      <c r="B79" s="211" t="s">
        <v>184</v>
      </c>
      <c r="C79" s="227" t="e">
        <f>D7</f>
        <v>#DIV/0!</v>
      </c>
    </row>
    <row r="80" spans="1:6" ht="13.5" thickBot="1" x14ac:dyDescent="0.25">
      <c r="A80" s="211"/>
      <c r="B80" s="194" t="s">
        <v>480</v>
      </c>
      <c r="C80" s="212" t="e">
        <f>C77*C79</f>
        <v>#DIV/0!</v>
      </c>
    </row>
    <row r="81" spans="2:4" x14ac:dyDescent="0.2">
      <c r="B81" s="211"/>
      <c r="C81" s="227"/>
    </row>
    <row r="82" spans="2:4" x14ac:dyDescent="0.2">
      <c r="B82" s="211" t="s">
        <v>481</v>
      </c>
      <c r="C82" s="218">
        <v>0</v>
      </c>
    </row>
    <row r="83" spans="2:4" ht="13.5" thickBot="1" x14ac:dyDescent="0.25">
      <c r="B83" s="194" t="s">
        <v>482</v>
      </c>
      <c r="C83" s="491" t="e">
        <f>+C80-C82</f>
        <v>#DIV/0!</v>
      </c>
    </row>
    <row r="84" spans="2:4" x14ac:dyDescent="0.2">
      <c r="B84" s="211" t="s">
        <v>468</v>
      </c>
      <c r="C84" s="228">
        <v>0.5</v>
      </c>
    </row>
    <row r="85" spans="2:4" ht="13.5" thickBot="1" x14ac:dyDescent="0.25">
      <c r="B85" s="229" t="s">
        <v>467</v>
      </c>
      <c r="C85" s="492" t="e">
        <f>C83*C84</f>
        <v>#DIV/0!</v>
      </c>
      <c r="D85" s="230"/>
    </row>
    <row r="86" spans="2:4" ht="13.5" thickTop="1" x14ac:dyDescent="0.2">
      <c r="C86" s="231"/>
    </row>
    <row r="87" spans="2:4" x14ac:dyDescent="0.2">
      <c r="B87" s="199" t="s">
        <v>453</v>
      </c>
    </row>
  </sheetData>
  <hyperlinks>
    <hyperlink ref="B87" r:id="rId1" xr:uid="{BA926C4F-EA5E-4340-87D3-DC9787B132DD}"/>
  </hyperlinks>
  <pageMargins left="0.7" right="0.7" top="0.75" bottom="0.75" header="0.3" footer="0.3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4"/>
  <dimension ref="A1:F17"/>
  <sheetViews>
    <sheetView workbookViewId="0">
      <selection activeCell="C23" sqref="C23"/>
    </sheetView>
  </sheetViews>
  <sheetFormatPr defaultColWidth="8.85546875" defaultRowHeight="12.75" x14ac:dyDescent="0.2"/>
  <cols>
    <col min="1" max="1" width="16.5703125" customWidth="1"/>
    <col min="2" max="2" width="10.28515625" customWidth="1"/>
    <col min="3" max="3" width="39.7109375" customWidth="1"/>
    <col min="4" max="4" width="12.42578125" customWidth="1"/>
    <col min="5" max="5" width="13.5703125" customWidth="1"/>
    <col min="6" max="6" width="13" customWidth="1"/>
  </cols>
  <sheetData>
    <row r="1" spans="1:6" ht="15.75" x14ac:dyDescent="0.25">
      <c r="A1" s="575" t="s">
        <v>283</v>
      </c>
      <c r="B1" s="575"/>
      <c r="C1" s="575"/>
      <c r="D1" s="575"/>
      <c r="E1" s="575"/>
      <c r="F1" s="575"/>
    </row>
    <row r="3" spans="1:6" x14ac:dyDescent="0.2">
      <c r="A3" s="387"/>
      <c r="B3" s="387"/>
      <c r="C3" s="387"/>
      <c r="D3" s="387"/>
      <c r="E3" s="387"/>
      <c r="F3" s="387"/>
    </row>
    <row r="4" spans="1:6" x14ac:dyDescent="0.2">
      <c r="A4" s="383"/>
      <c r="B4" s="383"/>
      <c r="C4" s="383"/>
      <c r="D4" s="383"/>
      <c r="E4" s="383"/>
      <c r="F4" s="383"/>
    </row>
    <row r="5" spans="1:6" x14ac:dyDescent="0.2">
      <c r="A5" s="402" t="s">
        <v>281</v>
      </c>
      <c r="B5" s="576"/>
      <c r="C5" s="576"/>
    </row>
    <row r="6" spans="1:6" ht="25.5" x14ac:dyDescent="0.2">
      <c r="A6" s="403" t="s">
        <v>282</v>
      </c>
      <c r="B6" s="577"/>
      <c r="C6" s="577"/>
    </row>
    <row r="7" spans="1:6" x14ac:dyDescent="0.2">
      <c r="A7" s="404"/>
      <c r="B7" s="405"/>
      <c r="C7" s="405"/>
    </row>
    <row r="8" spans="1:6" x14ac:dyDescent="0.2">
      <c r="A8" s="406"/>
      <c r="B8" s="578"/>
      <c r="C8" s="578"/>
      <c r="D8" s="154"/>
      <c r="E8" s="154"/>
    </row>
    <row r="9" spans="1:6" x14ac:dyDescent="0.2">
      <c r="B9" s="407"/>
      <c r="C9" s="408" t="s">
        <v>388</v>
      </c>
      <c r="D9" s="416"/>
      <c r="E9" s="417"/>
      <c r="F9" s="409"/>
    </row>
    <row r="10" spans="1:6" x14ac:dyDescent="0.2">
      <c r="B10" s="410"/>
      <c r="C10" s="411" t="s">
        <v>387</v>
      </c>
      <c r="D10" s="418"/>
      <c r="E10" s="419"/>
      <c r="F10" s="409"/>
    </row>
    <row r="11" spans="1:6" x14ac:dyDescent="0.2">
      <c r="B11" s="410" t="s">
        <v>284</v>
      </c>
      <c r="C11" s="411" t="s">
        <v>285</v>
      </c>
      <c r="D11" s="418"/>
      <c r="E11" s="420"/>
      <c r="F11" s="409"/>
    </row>
    <row r="12" spans="1:6" x14ac:dyDescent="0.2">
      <c r="B12" s="410"/>
      <c r="C12" s="411" t="s">
        <v>286</v>
      </c>
      <c r="D12" s="421"/>
      <c r="E12" s="420"/>
      <c r="F12" s="409"/>
    </row>
    <row r="13" spans="1:6" x14ac:dyDescent="0.2">
      <c r="B13" s="410"/>
      <c r="C13" s="411" t="s">
        <v>287</v>
      </c>
      <c r="D13" s="421"/>
      <c r="E13" s="420"/>
      <c r="F13" s="409"/>
    </row>
    <row r="14" spans="1:6" x14ac:dyDescent="0.2">
      <c r="B14" s="410"/>
      <c r="C14" s="411" t="s">
        <v>288</v>
      </c>
      <c r="D14" s="421"/>
      <c r="E14" s="420"/>
      <c r="F14" s="409"/>
    </row>
    <row r="15" spans="1:6" x14ac:dyDescent="0.2">
      <c r="B15" s="410"/>
      <c r="C15" s="411"/>
      <c r="D15" s="418"/>
      <c r="E15" s="422">
        <f>SUM(D12:D15)</f>
        <v>0</v>
      </c>
      <c r="F15" s="409"/>
    </row>
    <row r="16" spans="1:6" x14ac:dyDescent="0.2">
      <c r="B16" s="412"/>
      <c r="C16" s="413"/>
      <c r="D16" s="418"/>
      <c r="E16" s="420"/>
      <c r="F16" s="409"/>
    </row>
    <row r="17" spans="1:6" x14ac:dyDescent="0.2">
      <c r="A17" s="409"/>
      <c r="B17" s="401"/>
      <c r="C17" s="414"/>
      <c r="D17" s="423"/>
      <c r="E17" s="424">
        <f>ROUND(E10-E9+E15,2)</f>
        <v>0</v>
      </c>
      <c r="F17" s="415" t="str">
        <f>IF(E17=0,"Reconciled","Out of Balance")</f>
        <v>Reconciled</v>
      </c>
    </row>
  </sheetData>
  <mergeCells count="4">
    <mergeCell ref="A1:F1"/>
    <mergeCell ref="B5:C5"/>
    <mergeCell ref="B6:C6"/>
    <mergeCell ref="B8:C8"/>
  </mergeCells>
  <conditionalFormatting sqref="B5:C5">
    <cfRule type="expression" dxfId="2" priority="1">
      <formula>#REF!="Enter account name"</formula>
    </cfRule>
  </conditionalFormatting>
  <conditionalFormatting sqref="F17">
    <cfRule type="containsText" dxfId="1" priority="2" operator="containsText" text="Reconciled">
      <formula>NOT(ISERROR(SEARCH("Reconciled",F17)))</formula>
    </cfRule>
    <cfRule type="containsText" dxfId="0" priority="3" operator="containsText" text="Out of Balance">
      <formula>NOT(ISERROR(SEARCH("Out of Balance",F17)))</formula>
    </cfRule>
  </conditionalFormatting>
  <dataValidations count="1">
    <dataValidation allowBlank="1" showInputMessage="1" showErrorMessage="1" prompt="If the account is in overdraft enter this amount as a negative." sqref="E9:E16" xr:uid="{00000000-0002-0000-1200-000000000000}"/>
  </dataValidation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5"/>
  <dimension ref="A1:I36"/>
  <sheetViews>
    <sheetView zoomScale="85" zoomScaleNormal="85" workbookViewId="0">
      <selection activeCell="B16" sqref="B16"/>
    </sheetView>
  </sheetViews>
  <sheetFormatPr defaultColWidth="9.140625" defaultRowHeight="15" x14ac:dyDescent="0.25"/>
  <cols>
    <col min="1" max="1" width="29.85546875" style="16" customWidth="1"/>
    <col min="2" max="2" width="11.42578125" style="13" customWidth="1"/>
    <col min="3" max="5" width="12.7109375" style="16" customWidth="1"/>
    <col min="6" max="6" width="10.7109375" style="16" customWidth="1"/>
    <col min="7" max="7" width="36" style="13" customWidth="1"/>
    <col min="8" max="16384" width="9.140625" style="16"/>
  </cols>
  <sheetData>
    <row r="1" spans="1:9" s="111" customFormat="1" ht="21" x14ac:dyDescent="0.35">
      <c r="A1" s="552" t="s">
        <v>4</v>
      </c>
      <c r="B1" s="552"/>
      <c r="C1" s="552"/>
      <c r="D1" s="552"/>
    </row>
    <row r="2" spans="1:9" s="111" customFormat="1" x14ac:dyDescent="0.25">
      <c r="A2" s="105"/>
      <c r="B2" s="105"/>
      <c r="C2" s="105"/>
      <c r="D2" s="105"/>
      <c r="E2" s="112"/>
      <c r="F2" s="112"/>
      <c r="G2" s="112"/>
      <c r="H2" s="112"/>
      <c r="I2" s="112"/>
    </row>
    <row r="3" spans="1:9" s="111" customFormat="1" ht="15.75" x14ac:dyDescent="0.25">
      <c r="A3" s="106" t="s">
        <v>0</v>
      </c>
      <c r="B3" s="108">
        <f>'Summary - 1 Client name '!C3</f>
        <v>0</v>
      </c>
      <c r="D3" s="107"/>
      <c r="E3" s="112"/>
      <c r="F3" s="112"/>
      <c r="G3" s="112"/>
      <c r="H3" s="112"/>
      <c r="I3" s="112"/>
    </row>
    <row r="4" spans="1:9" s="111" customFormat="1" ht="15.75" x14ac:dyDescent="0.25">
      <c r="A4" s="106" t="s">
        <v>1</v>
      </c>
      <c r="B4" s="109">
        <f>'Summary - 1 Client name '!C4</f>
        <v>46203</v>
      </c>
      <c r="D4" s="106"/>
      <c r="E4" s="112"/>
      <c r="F4" s="112"/>
      <c r="G4" s="112"/>
      <c r="H4" s="112"/>
      <c r="I4" s="112"/>
    </row>
    <row r="5" spans="1:9" s="111" customFormat="1" ht="15.75" x14ac:dyDescent="0.25">
      <c r="A5" s="106" t="s">
        <v>2</v>
      </c>
      <c r="B5" s="106" t="s">
        <v>290</v>
      </c>
      <c r="D5" s="107"/>
      <c r="E5" s="112"/>
      <c r="F5" s="112"/>
      <c r="G5" s="112"/>
      <c r="H5" s="112"/>
      <c r="I5" s="112"/>
    </row>
    <row r="6" spans="1:9" s="1" customFormat="1" ht="16.5" customHeight="1" x14ac:dyDescent="0.25">
      <c r="A6" s="17"/>
      <c r="B6" s="18"/>
      <c r="C6" s="17"/>
      <c r="D6" s="17"/>
      <c r="E6" s="14"/>
      <c r="F6" s="14"/>
      <c r="G6" s="14"/>
      <c r="H6" s="17"/>
      <c r="I6" s="17"/>
    </row>
    <row r="8" spans="1:9" s="147" customFormat="1" ht="30" x14ac:dyDescent="0.2">
      <c r="B8" s="145" t="s">
        <v>241</v>
      </c>
      <c r="C8" s="145" t="s">
        <v>242</v>
      </c>
      <c r="D8" s="145" t="s">
        <v>243</v>
      </c>
      <c r="E8" s="145" t="s">
        <v>244</v>
      </c>
      <c r="F8" s="145" t="s">
        <v>245</v>
      </c>
    </row>
    <row r="9" spans="1:9" s="146" customFormat="1" x14ac:dyDescent="0.25">
      <c r="B9" s="137"/>
      <c r="C9" s="137"/>
      <c r="D9" s="137"/>
      <c r="E9" s="137"/>
      <c r="F9" s="137"/>
    </row>
    <row r="10" spans="1:9" x14ac:dyDescent="0.25">
      <c r="A10" s="19"/>
      <c r="B10" s="20"/>
      <c r="C10" s="19"/>
      <c r="D10" s="19"/>
      <c r="E10" s="19"/>
    </row>
    <row r="11" spans="1:9" x14ac:dyDescent="0.25">
      <c r="C11" s="15"/>
      <c r="D11" s="15"/>
      <c r="E11" s="15"/>
    </row>
    <row r="12" spans="1:9" x14ac:dyDescent="0.25">
      <c r="A12" s="21" t="s">
        <v>291</v>
      </c>
      <c r="B12" s="22"/>
      <c r="C12" s="15"/>
      <c r="D12" s="15"/>
      <c r="E12" s="15"/>
    </row>
    <row r="13" spans="1:9" x14ac:dyDescent="0.25">
      <c r="C13" s="15"/>
      <c r="D13" s="15"/>
      <c r="E13" s="15"/>
    </row>
    <row r="14" spans="1:9" x14ac:dyDescent="0.25">
      <c r="A14" s="16" t="s">
        <v>247</v>
      </c>
      <c r="B14" s="16"/>
      <c r="C14" s="23"/>
      <c r="D14" s="15"/>
      <c r="E14" s="15">
        <f>D14*30/70</f>
        <v>0</v>
      </c>
      <c r="F14" s="24"/>
    </row>
    <row r="15" spans="1:9" x14ac:dyDescent="0.25">
      <c r="A15" s="16" t="s">
        <v>247</v>
      </c>
      <c r="B15" s="16"/>
      <c r="C15" s="23"/>
      <c r="D15" s="15"/>
      <c r="E15" s="15">
        <f>D15*30/70</f>
        <v>0</v>
      </c>
      <c r="F15" s="24"/>
    </row>
    <row r="16" spans="1:9" x14ac:dyDescent="0.25">
      <c r="B16" s="16"/>
      <c r="C16" s="23"/>
      <c r="D16" s="15"/>
      <c r="E16" s="15"/>
    </row>
    <row r="17" spans="1:7" x14ac:dyDescent="0.25">
      <c r="A17" s="16" t="s">
        <v>101</v>
      </c>
      <c r="B17" s="10"/>
      <c r="C17" s="25">
        <f>SUM(C14:C16)</f>
        <v>0</v>
      </c>
      <c r="D17" s="25">
        <f>SUM(D14:D16)</f>
        <v>0</v>
      </c>
      <c r="E17" s="25">
        <f>SUM(E14:E16)</f>
        <v>0</v>
      </c>
    </row>
    <row r="18" spans="1:7" x14ac:dyDescent="0.25">
      <c r="B18" s="10"/>
      <c r="C18" s="15"/>
      <c r="D18" s="15"/>
      <c r="E18" s="15"/>
    </row>
    <row r="19" spans="1:7" x14ac:dyDescent="0.25">
      <c r="A19" s="16" t="s">
        <v>247</v>
      </c>
      <c r="B19" s="16"/>
      <c r="C19" s="23"/>
      <c r="D19" s="15"/>
      <c r="E19" s="15">
        <f>D19*30/70</f>
        <v>0</v>
      </c>
      <c r="F19" s="24"/>
    </row>
    <row r="20" spans="1:7" x14ac:dyDescent="0.25">
      <c r="A20" s="16" t="s">
        <v>247</v>
      </c>
      <c r="B20" s="16"/>
      <c r="C20" s="23"/>
      <c r="D20" s="15"/>
      <c r="E20" s="15">
        <f>D20*30/70</f>
        <v>0</v>
      </c>
      <c r="F20" s="24"/>
    </row>
    <row r="21" spans="1:7" x14ac:dyDescent="0.25">
      <c r="B21" s="16"/>
      <c r="C21" s="23"/>
      <c r="D21" s="15"/>
      <c r="E21" s="15"/>
    </row>
    <row r="22" spans="1:7" x14ac:dyDescent="0.25">
      <c r="A22" s="16" t="s">
        <v>101</v>
      </c>
      <c r="B22" s="10"/>
      <c r="C22" s="25">
        <f>SUM(C19:C21)</f>
        <v>0</v>
      </c>
      <c r="D22" s="25">
        <f>SUM(D19:D21)</f>
        <v>0</v>
      </c>
      <c r="E22" s="25">
        <f>SUM(E19:E21)</f>
        <v>0</v>
      </c>
      <c r="G22" s="8"/>
    </row>
    <row r="24" spans="1:7" x14ac:dyDescent="0.25">
      <c r="A24" s="16" t="s">
        <v>292</v>
      </c>
      <c r="B24" s="26"/>
      <c r="C24" s="27">
        <f>C17+C22</f>
        <v>0</v>
      </c>
      <c r="D24" s="28">
        <f>SUM(D17,D22)</f>
        <v>0</v>
      </c>
      <c r="E24" s="28">
        <f>SUM(E17,E22)</f>
        <v>0</v>
      </c>
      <c r="F24" s="29"/>
      <c r="G24" s="26"/>
    </row>
    <row r="25" spans="1:7" s="30" customFormat="1" x14ac:dyDescent="0.25">
      <c r="A25" s="16"/>
      <c r="B25" s="13"/>
      <c r="C25" s="16"/>
      <c r="D25" s="16"/>
      <c r="E25" s="16"/>
      <c r="F25" s="16"/>
      <c r="G25" s="13"/>
    </row>
    <row r="26" spans="1:7" x14ac:dyDescent="0.25">
      <c r="A26" s="29" t="s">
        <v>293</v>
      </c>
      <c r="C26" s="15">
        <f>C24*0.5</f>
        <v>0</v>
      </c>
      <c r="D26" s="23">
        <f>0.5*D24</f>
        <v>0</v>
      </c>
      <c r="E26" s="23">
        <f>0.5*E24</f>
        <v>0</v>
      </c>
    </row>
    <row r="29" spans="1:7" x14ac:dyDescent="0.25">
      <c r="A29" s="16" t="s">
        <v>250</v>
      </c>
      <c r="B29" s="16"/>
    </row>
    <row r="32" spans="1:7" s="30" customFormat="1" x14ac:dyDescent="0.25">
      <c r="A32" s="16"/>
      <c r="B32" s="13"/>
      <c r="C32" s="16"/>
      <c r="D32" s="16"/>
      <c r="E32" s="16"/>
      <c r="F32" s="16"/>
      <c r="G32" s="13"/>
    </row>
    <row r="34" spans="1:7" s="10" customFormat="1" x14ac:dyDescent="0.25">
      <c r="A34" s="16"/>
      <c r="B34" s="13"/>
      <c r="C34" s="16"/>
      <c r="D34" s="16"/>
      <c r="E34" s="16"/>
      <c r="F34" s="16"/>
      <c r="G34" s="13"/>
    </row>
    <row r="36" spans="1:7" s="29" customFormat="1" x14ac:dyDescent="0.25">
      <c r="A36" s="16"/>
      <c r="B36" s="13"/>
      <c r="C36" s="16"/>
      <c r="D36" s="16"/>
      <c r="E36" s="16"/>
      <c r="F36" s="16"/>
      <c r="G36" s="13"/>
    </row>
  </sheetData>
  <mergeCells count="1">
    <mergeCell ref="A1:D1"/>
  </mergeCells>
  <printOptions horizontalCentered="1" headings="1"/>
  <pageMargins left="0.35433070866141736" right="0.35433070866141736" top="0.78740157480314965" bottom="0.39370078740157483" header="0" footer="0.19685039370078741"/>
  <pageSetup paperSize="9" orientation="portrait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6"/>
  <dimension ref="A1:S29"/>
  <sheetViews>
    <sheetView workbookViewId="0">
      <selection activeCell="D36" sqref="D36"/>
    </sheetView>
  </sheetViews>
  <sheetFormatPr defaultColWidth="9.140625" defaultRowHeight="12.75" x14ac:dyDescent="0.2"/>
  <cols>
    <col min="1" max="1" width="27.42578125" style="160" customWidth="1"/>
    <col min="2" max="2" width="13.85546875" style="160" customWidth="1"/>
    <col min="3" max="3" width="11.28515625" style="160" hidden="1" customWidth="1"/>
    <col min="4" max="4" width="14.42578125" style="160" bestFit="1" customWidth="1"/>
    <col min="5" max="5" width="13.7109375" style="160" hidden="1" customWidth="1"/>
    <col min="6" max="6" width="16" style="160" hidden="1" customWidth="1"/>
    <col min="7" max="7" width="13.7109375" style="160" hidden="1" customWidth="1"/>
    <col min="8" max="8" width="11.85546875" style="160" bestFit="1" customWidth="1"/>
    <col min="9" max="9" width="11.28515625" style="160" bestFit="1" customWidth="1"/>
    <col min="10" max="10" width="17.85546875" style="160" bestFit="1" customWidth="1"/>
    <col min="11" max="11" width="12.28515625" style="160" bestFit="1" customWidth="1"/>
    <col min="12" max="12" width="15.5703125" style="160" bestFit="1" customWidth="1"/>
    <col min="13" max="13" width="12.28515625" style="160" bestFit="1" customWidth="1"/>
    <col min="14" max="14" width="46.28515625" style="160" bestFit="1" customWidth="1"/>
    <col min="15" max="16384" width="9.140625" style="160"/>
  </cols>
  <sheetData>
    <row r="1" spans="1:19" x14ac:dyDescent="0.2">
      <c r="A1" s="158" t="str">
        <f>'Summary - 1 Client name '!A3:B3</f>
        <v>Client:</v>
      </c>
      <c r="B1" s="158">
        <f>'Summary - 1 Client name '!B3:C3</f>
        <v>0</v>
      </c>
      <c r="C1" s="159"/>
      <c r="D1" s="159"/>
      <c r="E1" s="159"/>
      <c r="F1" s="159"/>
      <c r="G1" s="159"/>
      <c r="H1" s="159"/>
      <c r="I1" s="159"/>
      <c r="J1" s="159"/>
      <c r="K1" s="159"/>
      <c r="L1" s="159"/>
      <c r="M1" s="159"/>
      <c r="N1" s="159"/>
      <c r="O1" s="159"/>
      <c r="P1" s="159"/>
      <c r="Q1" s="159"/>
      <c r="R1" s="159"/>
      <c r="S1" s="159"/>
    </row>
    <row r="2" spans="1:19" x14ac:dyDescent="0.2">
      <c r="A2" s="158" t="s">
        <v>389</v>
      </c>
      <c r="B2" s="159"/>
      <c r="C2" s="159"/>
      <c r="D2" s="159"/>
      <c r="E2" s="159"/>
      <c r="F2" s="159"/>
      <c r="G2" s="159"/>
      <c r="H2" s="159"/>
      <c r="I2" s="159"/>
      <c r="J2" s="159"/>
      <c r="K2" s="159"/>
      <c r="L2" s="159"/>
      <c r="M2" s="159"/>
      <c r="N2" s="159"/>
      <c r="O2" s="159"/>
      <c r="P2" s="159"/>
      <c r="Q2" s="159"/>
      <c r="R2" s="159"/>
      <c r="S2" s="159"/>
    </row>
    <row r="3" spans="1:19" ht="13.5" thickBot="1" x14ac:dyDescent="0.25">
      <c r="A3" s="545" t="s">
        <v>294</v>
      </c>
      <c r="B3" s="159"/>
      <c r="C3" s="159"/>
      <c r="D3" s="159"/>
      <c r="E3" s="159"/>
      <c r="F3" s="159"/>
      <c r="G3" s="159"/>
      <c r="H3" s="159"/>
      <c r="I3" s="159"/>
      <c r="J3" s="159"/>
      <c r="K3" s="159"/>
      <c r="L3" s="159"/>
      <c r="M3" s="159"/>
      <c r="N3" s="159"/>
      <c r="O3" s="159"/>
      <c r="P3" s="159"/>
      <c r="Q3" s="159"/>
      <c r="R3" s="159"/>
      <c r="S3" s="159"/>
    </row>
    <row r="4" spans="1:19" x14ac:dyDescent="0.2">
      <c r="A4" s="161"/>
      <c r="B4" s="162" t="s">
        <v>295</v>
      </c>
      <c r="C4" s="162" t="s">
        <v>296</v>
      </c>
      <c r="D4" s="162" t="s">
        <v>297</v>
      </c>
      <c r="E4" s="162" t="s">
        <v>298</v>
      </c>
      <c r="F4" s="162" t="s">
        <v>299</v>
      </c>
      <c r="G4" s="162" t="s">
        <v>296</v>
      </c>
      <c r="H4" s="162" t="s">
        <v>297</v>
      </c>
      <c r="I4" s="163" t="s">
        <v>300</v>
      </c>
      <c r="J4" s="162" t="s">
        <v>301</v>
      </c>
      <c r="K4" s="162" t="s">
        <v>295</v>
      </c>
      <c r="L4" s="162" t="s">
        <v>301</v>
      </c>
      <c r="M4" s="164" t="s">
        <v>302</v>
      </c>
      <c r="N4" s="159"/>
      <c r="O4" s="159"/>
      <c r="P4" s="159"/>
      <c r="Q4" s="159"/>
      <c r="R4" s="159"/>
      <c r="S4" s="159"/>
    </row>
    <row r="5" spans="1:19" ht="13.5" thickBot="1" x14ac:dyDescent="0.25">
      <c r="A5" s="165"/>
      <c r="B5" s="165" t="s">
        <v>303</v>
      </c>
      <c r="C5" s="165" t="s">
        <v>303</v>
      </c>
      <c r="D5" s="165" t="s">
        <v>304</v>
      </c>
      <c r="E5" s="165" t="s">
        <v>305</v>
      </c>
      <c r="F5" s="165" t="s">
        <v>306</v>
      </c>
      <c r="G5" s="165" t="s">
        <v>305</v>
      </c>
      <c r="H5" s="165" t="s">
        <v>307</v>
      </c>
      <c r="I5" s="166" t="s">
        <v>308</v>
      </c>
      <c r="J5" s="165" t="s">
        <v>309</v>
      </c>
      <c r="K5" s="165" t="s">
        <v>310</v>
      </c>
      <c r="L5" s="165" t="s">
        <v>311</v>
      </c>
      <c r="M5" s="167" t="s">
        <v>312</v>
      </c>
      <c r="N5" s="159"/>
      <c r="O5" s="159"/>
      <c r="P5" s="159"/>
      <c r="Q5" s="159"/>
      <c r="R5" s="159"/>
      <c r="S5" s="159"/>
    </row>
    <row r="6" spans="1:19" x14ac:dyDescent="0.2">
      <c r="A6" s="168">
        <v>45809</v>
      </c>
      <c r="B6" s="169"/>
      <c r="C6" s="169"/>
      <c r="D6" s="169"/>
      <c r="E6" s="169"/>
      <c r="F6" s="169"/>
      <c r="G6" s="169"/>
      <c r="H6" s="169"/>
      <c r="I6" s="170">
        <f>D6-H6</f>
        <v>0</v>
      </c>
      <c r="J6" s="169">
        <v>0</v>
      </c>
      <c r="K6" s="171"/>
      <c r="L6" s="169"/>
      <c r="M6" s="172">
        <f>I6+J6+L6</f>
        <v>0</v>
      </c>
      <c r="N6" s="173"/>
      <c r="O6" s="159"/>
      <c r="P6" s="159"/>
      <c r="Q6" s="159"/>
      <c r="R6" s="159"/>
      <c r="S6" s="159"/>
    </row>
    <row r="7" spans="1:19" x14ac:dyDescent="0.2">
      <c r="A7" s="174"/>
      <c r="B7" s="175"/>
      <c r="C7" s="175"/>
      <c r="D7" s="175"/>
      <c r="E7" s="175"/>
      <c r="F7" s="175"/>
      <c r="G7" s="175"/>
      <c r="H7" s="175"/>
      <c r="I7" s="176"/>
      <c r="J7" s="175"/>
      <c r="K7" s="175"/>
      <c r="L7" s="175"/>
      <c r="M7" s="177"/>
      <c r="N7" s="159"/>
      <c r="O7" s="159"/>
      <c r="P7" s="159"/>
      <c r="Q7" s="159"/>
      <c r="R7" s="159"/>
      <c r="S7" s="159"/>
    </row>
    <row r="8" spans="1:19" x14ac:dyDescent="0.2">
      <c r="A8" s="168">
        <v>45809</v>
      </c>
      <c r="B8" s="169"/>
      <c r="C8" s="169"/>
      <c r="D8" s="169"/>
      <c r="E8" s="169"/>
      <c r="F8" s="169"/>
      <c r="G8" s="169"/>
      <c r="H8" s="169"/>
      <c r="I8" s="179">
        <f t="shared" ref="I8:I18" si="0">D8-H8</f>
        <v>0</v>
      </c>
      <c r="J8" s="169"/>
      <c r="K8" s="171"/>
      <c r="L8" s="169"/>
      <c r="M8" s="172">
        <f t="shared" ref="M8:M19" si="1">I8+J8+L8</f>
        <v>0</v>
      </c>
      <c r="N8" s="173"/>
      <c r="O8" s="159"/>
      <c r="P8" s="159"/>
      <c r="Q8" s="159"/>
      <c r="R8" s="159"/>
      <c r="S8" s="159"/>
    </row>
    <row r="9" spans="1:19" x14ac:dyDescent="0.2">
      <c r="A9" s="174"/>
      <c r="B9" s="169"/>
      <c r="C9" s="169"/>
      <c r="D9" s="169"/>
      <c r="E9" s="169"/>
      <c r="F9" s="169"/>
      <c r="G9" s="169"/>
      <c r="H9" s="169"/>
      <c r="I9" s="179">
        <f t="shared" si="0"/>
        <v>0</v>
      </c>
      <c r="J9" s="169"/>
      <c r="K9" s="171"/>
      <c r="L9" s="169"/>
      <c r="M9" s="172">
        <f t="shared" si="1"/>
        <v>0</v>
      </c>
      <c r="N9" s="173"/>
      <c r="O9" s="159"/>
      <c r="P9" s="159"/>
      <c r="Q9" s="159"/>
      <c r="R9" s="159"/>
      <c r="S9" s="159"/>
    </row>
    <row r="10" spans="1:19" x14ac:dyDescent="0.2">
      <c r="A10" s="178">
        <v>45839</v>
      </c>
      <c r="B10" s="169"/>
      <c r="C10" s="169"/>
      <c r="D10" s="169"/>
      <c r="E10" s="169"/>
      <c r="F10" s="169"/>
      <c r="G10" s="169"/>
      <c r="H10" s="169"/>
      <c r="I10" s="179">
        <f>D10-H10</f>
        <v>0</v>
      </c>
      <c r="J10" s="169"/>
      <c r="K10" s="171"/>
      <c r="L10" s="169"/>
      <c r="M10" s="172">
        <f t="shared" si="1"/>
        <v>0</v>
      </c>
      <c r="N10" s="173"/>
      <c r="O10" s="159"/>
      <c r="P10" s="159"/>
      <c r="Q10" s="159"/>
      <c r="R10" s="159"/>
      <c r="S10" s="159"/>
    </row>
    <row r="11" spans="1:19" x14ac:dyDescent="0.2">
      <c r="A11" s="178">
        <v>45870</v>
      </c>
      <c r="B11" s="169"/>
      <c r="C11" s="169"/>
      <c r="D11" s="169"/>
      <c r="E11" s="169"/>
      <c r="F11" s="169"/>
      <c r="G11" s="169"/>
      <c r="H11" s="169"/>
      <c r="I11" s="179">
        <f t="shared" si="0"/>
        <v>0</v>
      </c>
      <c r="J11" s="169"/>
      <c r="K11" s="171"/>
      <c r="L11" s="169"/>
      <c r="M11" s="172">
        <f t="shared" si="1"/>
        <v>0</v>
      </c>
      <c r="N11" s="173"/>
      <c r="O11" s="159"/>
      <c r="P11" s="159"/>
      <c r="Q11" s="159"/>
      <c r="R11" s="159"/>
      <c r="S11" s="159"/>
    </row>
    <row r="12" spans="1:19" x14ac:dyDescent="0.2">
      <c r="A12" s="178">
        <v>45901</v>
      </c>
      <c r="B12" s="169"/>
      <c r="C12" s="169"/>
      <c r="D12" s="169"/>
      <c r="E12" s="169"/>
      <c r="F12" s="169"/>
      <c r="G12" s="169"/>
      <c r="H12" s="169"/>
      <c r="I12" s="179">
        <f t="shared" si="0"/>
        <v>0</v>
      </c>
      <c r="J12" s="169"/>
      <c r="K12" s="171"/>
      <c r="L12" s="169"/>
      <c r="M12" s="172">
        <f t="shared" si="1"/>
        <v>0</v>
      </c>
      <c r="N12" s="173"/>
      <c r="O12" s="159"/>
      <c r="P12" s="159"/>
      <c r="Q12" s="159"/>
      <c r="R12" s="159"/>
      <c r="S12" s="159"/>
    </row>
    <row r="13" spans="1:19" x14ac:dyDescent="0.2">
      <c r="A13" s="178">
        <v>45931</v>
      </c>
      <c r="B13" s="169"/>
      <c r="C13" s="169"/>
      <c r="D13" s="169"/>
      <c r="E13" s="169"/>
      <c r="F13" s="169"/>
      <c r="G13" s="169"/>
      <c r="H13" s="169"/>
      <c r="I13" s="179">
        <f t="shared" si="0"/>
        <v>0</v>
      </c>
      <c r="J13" s="169"/>
      <c r="K13" s="171"/>
      <c r="L13" s="169"/>
      <c r="M13" s="172">
        <f t="shared" si="1"/>
        <v>0</v>
      </c>
      <c r="N13" s="173"/>
      <c r="O13" s="159"/>
      <c r="P13" s="159"/>
      <c r="Q13" s="159"/>
      <c r="R13" s="159"/>
      <c r="S13" s="159"/>
    </row>
    <row r="14" spans="1:19" x14ac:dyDescent="0.2">
      <c r="A14" s="178">
        <v>45962</v>
      </c>
      <c r="B14" s="169"/>
      <c r="C14" s="169"/>
      <c r="D14" s="169"/>
      <c r="E14" s="169"/>
      <c r="F14" s="169"/>
      <c r="G14" s="169"/>
      <c r="H14" s="169"/>
      <c r="I14" s="179">
        <f t="shared" si="0"/>
        <v>0</v>
      </c>
      <c r="J14" s="169"/>
      <c r="K14" s="171"/>
      <c r="L14" s="169"/>
      <c r="M14" s="172">
        <f t="shared" si="1"/>
        <v>0</v>
      </c>
      <c r="O14" s="159"/>
      <c r="P14" s="159"/>
      <c r="Q14" s="159"/>
      <c r="R14" s="159"/>
      <c r="S14" s="159"/>
    </row>
    <row r="15" spans="1:19" x14ac:dyDescent="0.2">
      <c r="A15" s="178">
        <v>45992</v>
      </c>
      <c r="B15" s="169"/>
      <c r="C15" s="169"/>
      <c r="D15" s="169"/>
      <c r="E15" s="169"/>
      <c r="F15" s="169"/>
      <c r="G15" s="169"/>
      <c r="H15" s="169"/>
      <c r="I15" s="179">
        <f t="shared" si="0"/>
        <v>0</v>
      </c>
      <c r="J15" s="169"/>
      <c r="K15" s="171"/>
      <c r="L15" s="169"/>
      <c r="M15" s="172">
        <f t="shared" si="1"/>
        <v>0</v>
      </c>
      <c r="O15" s="159"/>
      <c r="P15" s="159"/>
      <c r="Q15" s="159"/>
      <c r="R15" s="159"/>
      <c r="S15" s="159"/>
    </row>
    <row r="16" spans="1:19" x14ac:dyDescent="0.2">
      <c r="A16" s="178">
        <v>46023</v>
      </c>
      <c r="B16" s="169"/>
      <c r="C16" s="169"/>
      <c r="D16" s="169"/>
      <c r="E16" s="169"/>
      <c r="F16" s="169"/>
      <c r="G16" s="169"/>
      <c r="H16" s="169"/>
      <c r="I16" s="179">
        <f t="shared" si="0"/>
        <v>0</v>
      </c>
      <c r="J16" s="169"/>
      <c r="K16" s="171"/>
      <c r="L16" s="169"/>
      <c r="M16" s="172">
        <f t="shared" si="1"/>
        <v>0</v>
      </c>
      <c r="N16" s="173"/>
      <c r="O16" s="159"/>
      <c r="P16" s="159"/>
      <c r="Q16" s="159"/>
      <c r="R16" s="159"/>
      <c r="S16" s="159"/>
    </row>
    <row r="17" spans="1:19" x14ac:dyDescent="0.2">
      <c r="A17" s="178">
        <v>46054</v>
      </c>
      <c r="B17" s="169"/>
      <c r="C17" s="169"/>
      <c r="D17" s="169"/>
      <c r="E17" s="169"/>
      <c r="F17" s="169"/>
      <c r="G17" s="169"/>
      <c r="H17" s="169"/>
      <c r="I17" s="179">
        <f t="shared" si="0"/>
        <v>0</v>
      </c>
      <c r="J17" s="169"/>
      <c r="K17" s="171"/>
      <c r="L17" s="169"/>
      <c r="M17" s="172">
        <f t="shared" si="1"/>
        <v>0</v>
      </c>
      <c r="O17" s="159"/>
      <c r="P17" s="159"/>
      <c r="Q17" s="159"/>
      <c r="R17" s="159"/>
      <c r="S17" s="159"/>
    </row>
    <row r="18" spans="1:19" x14ac:dyDescent="0.2">
      <c r="A18" s="178">
        <v>46082</v>
      </c>
      <c r="B18" s="169"/>
      <c r="C18" s="169"/>
      <c r="D18" s="169"/>
      <c r="E18" s="169"/>
      <c r="F18" s="169"/>
      <c r="G18" s="169"/>
      <c r="H18" s="169"/>
      <c r="I18" s="179">
        <f t="shared" si="0"/>
        <v>0</v>
      </c>
      <c r="J18" s="169"/>
      <c r="K18" s="171"/>
      <c r="L18" s="169"/>
      <c r="M18" s="172">
        <f t="shared" si="1"/>
        <v>0</v>
      </c>
      <c r="O18" s="159"/>
      <c r="P18" s="159"/>
      <c r="Q18" s="159"/>
      <c r="R18" s="159"/>
      <c r="S18" s="159"/>
    </row>
    <row r="19" spans="1:19" x14ac:dyDescent="0.2">
      <c r="A19" s="178">
        <v>46113</v>
      </c>
      <c r="B19" s="169"/>
      <c r="C19" s="169"/>
      <c r="D19" s="169"/>
      <c r="E19" s="169"/>
      <c r="F19" s="169"/>
      <c r="G19" s="169"/>
      <c r="H19" s="169"/>
      <c r="I19" s="179">
        <f>D19-H19</f>
        <v>0</v>
      </c>
      <c r="J19" s="169"/>
      <c r="K19" s="171"/>
      <c r="L19" s="169"/>
      <c r="M19" s="172">
        <f t="shared" si="1"/>
        <v>0</v>
      </c>
      <c r="N19" s="173"/>
      <c r="O19" s="159"/>
      <c r="P19" s="159"/>
      <c r="Q19" s="159"/>
      <c r="R19" s="159"/>
      <c r="S19" s="159"/>
    </row>
    <row r="20" spans="1:19" x14ac:dyDescent="0.2">
      <c r="A20" s="178">
        <v>46143</v>
      </c>
      <c r="B20" s="169"/>
      <c r="C20" s="169"/>
      <c r="D20" s="169"/>
      <c r="E20" s="169"/>
      <c r="F20" s="169"/>
      <c r="G20" s="169"/>
      <c r="H20" s="169"/>
      <c r="I20" s="179"/>
      <c r="J20" s="169"/>
      <c r="K20" s="169"/>
      <c r="L20" s="169"/>
      <c r="M20" s="172"/>
      <c r="N20" s="180"/>
      <c r="O20" s="159"/>
      <c r="P20" s="159"/>
      <c r="Q20" s="159"/>
      <c r="R20" s="159"/>
      <c r="S20" s="159"/>
    </row>
    <row r="21" spans="1:19" x14ac:dyDescent="0.2">
      <c r="A21" s="178">
        <v>46174</v>
      </c>
      <c r="B21" s="169"/>
      <c r="C21" s="169"/>
      <c r="D21" s="169"/>
      <c r="E21" s="169"/>
      <c r="F21" s="169"/>
      <c r="G21" s="169"/>
      <c r="H21" s="169"/>
      <c r="I21" s="179"/>
      <c r="J21" s="169"/>
      <c r="K21" s="169"/>
      <c r="L21" s="169"/>
      <c r="M21" s="172"/>
      <c r="N21" s="180"/>
      <c r="O21" s="159"/>
      <c r="P21" s="159"/>
      <c r="Q21" s="159"/>
      <c r="R21" s="159"/>
      <c r="S21" s="159"/>
    </row>
    <row r="22" spans="1:19" ht="13.5" thickBot="1" x14ac:dyDescent="0.25">
      <c r="B22" s="185">
        <f>SUM(B8:B21)</f>
        <v>0</v>
      </c>
      <c r="C22" s="185">
        <f t="shared" ref="C22:G22" si="2">SUM(C8:C21)</f>
        <v>0</v>
      </c>
      <c r="D22" s="185">
        <f>SUM(D8:D21)</f>
        <v>0</v>
      </c>
      <c r="E22" s="185">
        <f t="shared" si="2"/>
        <v>0</v>
      </c>
      <c r="F22" s="185">
        <f t="shared" si="2"/>
        <v>0</v>
      </c>
      <c r="G22" s="185">
        <f t="shared" si="2"/>
        <v>0</v>
      </c>
      <c r="H22" s="185">
        <f>SUM(H8:H21)</f>
        <v>0</v>
      </c>
      <c r="I22" s="186">
        <f>SUM(I8:I21)</f>
        <v>0</v>
      </c>
      <c r="J22" s="185">
        <f>SUM(J8:J21)</f>
        <v>0</v>
      </c>
      <c r="K22" s="185">
        <f>SUM(K8:K21)</f>
        <v>0</v>
      </c>
      <c r="L22" s="185">
        <f>SUM(L8:L21)</f>
        <v>0</v>
      </c>
      <c r="M22" s="187">
        <f>SUM(M8:M19)</f>
        <v>0</v>
      </c>
      <c r="N22" s="159"/>
      <c r="O22" s="159"/>
      <c r="P22" s="159"/>
      <c r="Q22" s="159"/>
      <c r="R22" s="159"/>
      <c r="S22" s="159"/>
    </row>
    <row r="23" spans="1:19" ht="13.5" thickTop="1" x14ac:dyDescent="0.2">
      <c r="A23" s="181"/>
      <c r="B23" s="188"/>
      <c r="C23" s="188"/>
      <c r="D23" s="188"/>
      <c r="E23" s="188"/>
      <c r="F23" s="188"/>
      <c r="G23" s="188"/>
      <c r="H23" s="188"/>
      <c r="I23" s="188"/>
      <c r="J23" s="188"/>
      <c r="K23" s="188"/>
      <c r="L23" s="188"/>
      <c r="M23" s="189"/>
      <c r="N23" s="159"/>
      <c r="O23" s="159"/>
      <c r="P23" s="159"/>
      <c r="Q23" s="159"/>
      <c r="R23" s="159"/>
      <c r="S23" s="159"/>
    </row>
    <row r="24" spans="1:19" x14ac:dyDescent="0.2">
      <c r="A24" s="181" t="s">
        <v>313</v>
      </c>
      <c r="B24" s="188"/>
      <c r="C24" s="188"/>
      <c r="D24" s="188"/>
      <c r="E24" s="188"/>
      <c r="F24" s="188"/>
      <c r="G24" s="188"/>
      <c r="H24" s="188"/>
      <c r="I24" s="188"/>
      <c r="J24" s="188"/>
      <c r="K24" s="188"/>
      <c r="L24" s="188"/>
      <c r="M24" s="189"/>
      <c r="N24" s="159"/>
      <c r="O24" s="159"/>
      <c r="P24" s="159"/>
      <c r="Q24" s="159"/>
      <c r="R24" s="159"/>
      <c r="S24" s="159"/>
    </row>
    <row r="25" spans="1:19" x14ac:dyDescent="0.2">
      <c r="A25" s="190"/>
      <c r="B25" s="190"/>
      <c r="C25" s="190"/>
      <c r="D25" s="190"/>
      <c r="E25" s="190"/>
      <c r="F25" s="190"/>
      <c r="G25" s="190"/>
      <c r="H25" s="190"/>
      <c r="I25" s="190"/>
      <c r="J25" s="190"/>
      <c r="K25" s="182"/>
      <c r="L25" s="182"/>
      <c r="M25" s="190"/>
      <c r="N25" s="159"/>
      <c r="O25" s="159"/>
      <c r="P25" s="159"/>
      <c r="Q25" s="159"/>
      <c r="R25" s="159"/>
      <c r="S25" s="159"/>
    </row>
    <row r="26" spans="1:19" x14ac:dyDescent="0.2">
      <c r="A26" s="546" t="s">
        <v>537</v>
      </c>
      <c r="B26" s="547">
        <f>B22-B24</f>
        <v>0</v>
      </c>
      <c r="C26" s="547">
        <f t="shared" ref="C26:H26" si="3">C22-C24</f>
        <v>0</v>
      </c>
      <c r="D26" s="547">
        <f t="shared" si="3"/>
        <v>0</v>
      </c>
      <c r="E26" s="547">
        <f t="shared" si="3"/>
        <v>0</v>
      </c>
      <c r="F26" s="547">
        <f t="shared" si="3"/>
        <v>0</v>
      </c>
      <c r="G26" s="547">
        <f t="shared" si="3"/>
        <v>0</v>
      </c>
      <c r="H26" s="547">
        <f t="shared" si="3"/>
        <v>0</v>
      </c>
      <c r="I26" s="548">
        <f>D26-H26+I19</f>
        <v>0</v>
      </c>
      <c r="J26" s="547">
        <v>0</v>
      </c>
      <c r="K26" s="547">
        <v>0</v>
      </c>
      <c r="L26" s="547">
        <v>0</v>
      </c>
      <c r="M26" s="547">
        <f>I26+J26+L26</f>
        <v>0</v>
      </c>
      <c r="N26" s="183"/>
      <c r="O26" s="159"/>
      <c r="P26" s="159"/>
      <c r="Q26" s="159"/>
      <c r="R26" s="159"/>
      <c r="S26" s="159"/>
    </row>
    <row r="27" spans="1:19" x14ac:dyDescent="0.2">
      <c r="A27" s="190"/>
      <c r="B27" s="190"/>
      <c r="C27" s="190"/>
      <c r="D27" s="182"/>
      <c r="E27" s="190"/>
      <c r="F27" s="190"/>
      <c r="G27" s="190"/>
      <c r="H27" s="191"/>
      <c r="I27" s="182"/>
      <c r="J27" s="190"/>
      <c r="K27" s="182"/>
      <c r="L27" s="182"/>
      <c r="M27" s="182"/>
      <c r="N27" s="159"/>
      <c r="O27" s="159"/>
      <c r="P27" s="159"/>
      <c r="Q27" s="159"/>
      <c r="R27" s="159"/>
      <c r="S27" s="159"/>
    </row>
    <row r="28" spans="1:19" x14ac:dyDescent="0.2">
      <c r="A28" s="192"/>
      <c r="B28" s="192"/>
      <c r="C28" s="192"/>
      <c r="D28" s="192"/>
      <c r="E28" s="192"/>
      <c r="F28" s="192"/>
      <c r="G28" s="192"/>
      <c r="H28" s="192"/>
      <c r="I28" s="184"/>
      <c r="J28" s="192"/>
      <c r="K28" s="192"/>
      <c r="L28" s="192"/>
      <c r="M28" s="193">
        <f>+M26-M19</f>
        <v>0</v>
      </c>
      <c r="N28" s="159"/>
    </row>
    <row r="29" spans="1:19" x14ac:dyDescent="0.2">
      <c r="M29" s="184"/>
      <c r="N29" s="159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17">
    <tabColor theme="3" tint="0.59999389629810485"/>
  </sheetPr>
  <dimension ref="A1:C7"/>
  <sheetViews>
    <sheetView workbookViewId="0">
      <selection activeCell="O18" sqref="O18"/>
    </sheetView>
  </sheetViews>
  <sheetFormatPr defaultRowHeight="12.75" x14ac:dyDescent="0.2"/>
  <cols>
    <col min="2" max="2" width="17.7109375" bestFit="1" customWidth="1"/>
  </cols>
  <sheetData>
    <row r="1" spans="1:3" ht="15" x14ac:dyDescent="0.25">
      <c r="A1" s="579" t="s">
        <v>314</v>
      </c>
      <c r="B1" s="579"/>
      <c r="C1" s="579"/>
    </row>
    <row r="3" spans="1:3" s="154" customFormat="1" x14ac:dyDescent="0.2">
      <c r="A3" s="154" t="s">
        <v>315</v>
      </c>
      <c r="B3" s="154" t="s">
        <v>316</v>
      </c>
      <c r="C3" s="154" t="s">
        <v>317</v>
      </c>
    </row>
    <row r="4" spans="1:3" x14ac:dyDescent="0.2">
      <c r="A4">
        <v>1</v>
      </c>
      <c r="B4" t="s">
        <v>318</v>
      </c>
    </row>
    <row r="5" spans="1:3" x14ac:dyDescent="0.2">
      <c r="A5">
        <v>2</v>
      </c>
      <c r="B5" t="s">
        <v>319</v>
      </c>
    </row>
    <row r="6" spans="1:3" x14ac:dyDescent="0.2">
      <c r="A6">
        <v>3</v>
      </c>
      <c r="B6" t="s">
        <v>320</v>
      </c>
    </row>
    <row r="7" spans="1:3" x14ac:dyDescent="0.2">
      <c r="A7">
        <v>4</v>
      </c>
      <c r="B7" t="s">
        <v>321</v>
      </c>
    </row>
  </sheetData>
  <mergeCells count="1">
    <mergeCell ref="A1:C1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1">
    <pageSetUpPr fitToPage="1"/>
  </sheetPr>
  <dimension ref="A1:O27"/>
  <sheetViews>
    <sheetView zoomScale="85" zoomScaleNormal="85" workbookViewId="0">
      <selection activeCell="B14" sqref="B14"/>
    </sheetView>
  </sheetViews>
  <sheetFormatPr defaultRowHeight="12.75" x14ac:dyDescent="0.2"/>
  <cols>
    <col min="1" max="1" width="23.85546875" style="82" customWidth="1"/>
    <col min="2" max="2" width="32.5703125" style="68" customWidth="1"/>
    <col min="3" max="3" width="14.85546875" style="68" customWidth="1"/>
    <col min="4" max="4" width="11" style="68" customWidth="1"/>
    <col min="5" max="5" width="22.140625" style="68" customWidth="1"/>
    <col min="6" max="6" width="13.5703125" style="68" customWidth="1"/>
    <col min="7" max="7" width="15.85546875" style="68" bestFit="1" customWidth="1"/>
    <col min="8" max="8" width="5.5703125" style="68" bestFit="1" customWidth="1"/>
    <col min="9" max="10" width="15.85546875" style="68" customWidth="1"/>
    <col min="11" max="12" width="13.5703125" style="68" customWidth="1"/>
    <col min="13" max="13" width="20.42578125" style="68" customWidth="1"/>
    <col min="14" max="14" width="7.28515625" style="81" bestFit="1" customWidth="1"/>
    <col min="15" max="15" width="25.28515625" style="68" bestFit="1" customWidth="1"/>
    <col min="16" max="16" width="13.42578125" style="68" bestFit="1" customWidth="1"/>
    <col min="17" max="263" width="9.140625" style="68"/>
    <col min="264" max="264" width="10.140625" style="68" bestFit="1" customWidth="1"/>
    <col min="265" max="265" width="24.7109375" style="68" customWidth="1"/>
    <col min="266" max="266" width="14.85546875" style="68" customWidth="1"/>
    <col min="267" max="267" width="13.42578125" style="68" customWidth="1"/>
    <col min="268" max="268" width="13.5703125" style="68" customWidth="1"/>
    <col min="269" max="269" width="23.42578125" style="68" customWidth="1"/>
    <col min="270" max="270" width="13.5703125" style="68" customWidth="1"/>
    <col min="271" max="271" width="14.5703125" style="68" customWidth="1"/>
    <col min="272" max="272" width="13.42578125" style="68" bestFit="1" customWidth="1"/>
    <col min="273" max="519" width="9.140625" style="68"/>
    <col min="520" max="520" width="10.140625" style="68" bestFit="1" customWidth="1"/>
    <col min="521" max="521" width="24.7109375" style="68" customWidth="1"/>
    <col min="522" max="522" width="14.85546875" style="68" customWidth="1"/>
    <col min="523" max="523" width="13.42578125" style="68" customWidth="1"/>
    <col min="524" max="524" width="13.5703125" style="68" customWidth="1"/>
    <col min="525" max="525" width="23.42578125" style="68" customWidth="1"/>
    <col min="526" max="526" width="13.5703125" style="68" customWidth="1"/>
    <col min="527" max="527" width="14.5703125" style="68" customWidth="1"/>
    <col min="528" max="528" width="13.42578125" style="68" bestFit="1" customWidth="1"/>
    <col min="529" max="775" width="9.140625" style="68"/>
    <col min="776" max="776" width="10.140625" style="68" bestFit="1" customWidth="1"/>
    <col min="777" max="777" width="24.7109375" style="68" customWidth="1"/>
    <col min="778" max="778" width="14.85546875" style="68" customWidth="1"/>
    <col min="779" max="779" width="13.42578125" style="68" customWidth="1"/>
    <col min="780" max="780" width="13.5703125" style="68" customWidth="1"/>
    <col min="781" max="781" width="23.42578125" style="68" customWidth="1"/>
    <col min="782" max="782" width="13.5703125" style="68" customWidth="1"/>
    <col min="783" max="783" width="14.5703125" style="68" customWidth="1"/>
    <col min="784" max="784" width="13.42578125" style="68" bestFit="1" customWidth="1"/>
    <col min="785" max="1031" width="9.140625" style="68"/>
    <col min="1032" max="1032" width="10.140625" style="68" bestFit="1" customWidth="1"/>
    <col min="1033" max="1033" width="24.7109375" style="68" customWidth="1"/>
    <col min="1034" max="1034" width="14.85546875" style="68" customWidth="1"/>
    <col min="1035" max="1035" width="13.42578125" style="68" customWidth="1"/>
    <col min="1036" max="1036" width="13.5703125" style="68" customWidth="1"/>
    <col min="1037" max="1037" width="23.42578125" style="68" customWidth="1"/>
    <col min="1038" max="1038" width="13.5703125" style="68" customWidth="1"/>
    <col min="1039" max="1039" width="14.5703125" style="68" customWidth="1"/>
    <col min="1040" max="1040" width="13.42578125" style="68" bestFit="1" customWidth="1"/>
    <col min="1041" max="1287" width="9.140625" style="68"/>
    <col min="1288" max="1288" width="10.140625" style="68" bestFit="1" customWidth="1"/>
    <col min="1289" max="1289" width="24.7109375" style="68" customWidth="1"/>
    <col min="1290" max="1290" width="14.85546875" style="68" customWidth="1"/>
    <col min="1291" max="1291" width="13.42578125" style="68" customWidth="1"/>
    <col min="1292" max="1292" width="13.5703125" style="68" customWidth="1"/>
    <col min="1293" max="1293" width="23.42578125" style="68" customWidth="1"/>
    <col min="1294" max="1294" width="13.5703125" style="68" customWidth="1"/>
    <col min="1295" max="1295" width="14.5703125" style="68" customWidth="1"/>
    <col min="1296" max="1296" width="13.42578125" style="68" bestFit="1" customWidth="1"/>
    <col min="1297" max="1543" width="9.140625" style="68"/>
    <col min="1544" max="1544" width="10.140625" style="68" bestFit="1" customWidth="1"/>
    <col min="1545" max="1545" width="24.7109375" style="68" customWidth="1"/>
    <col min="1546" max="1546" width="14.85546875" style="68" customWidth="1"/>
    <col min="1547" max="1547" width="13.42578125" style="68" customWidth="1"/>
    <col min="1548" max="1548" width="13.5703125" style="68" customWidth="1"/>
    <col min="1549" max="1549" width="23.42578125" style="68" customWidth="1"/>
    <col min="1550" max="1550" width="13.5703125" style="68" customWidth="1"/>
    <col min="1551" max="1551" width="14.5703125" style="68" customWidth="1"/>
    <col min="1552" max="1552" width="13.42578125" style="68" bestFit="1" customWidth="1"/>
    <col min="1553" max="1799" width="9.140625" style="68"/>
    <col min="1800" max="1800" width="10.140625" style="68" bestFit="1" customWidth="1"/>
    <col min="1801" max="1801" width="24.7109375" style="68" customWidth="1"/>
    <col min="1802" max="1802" width="14.85546875" style="68" customWidth="1"/>
    <col min="1803" max="1803" width="13.42578125" style="68" customWidth="1"/>
    <col min="1804" max="1804" width="13.5703125" style="68" customWidth="1"/>
    <col min="1805" max="1805" width="23.42578125" style="68" customWidth="1"/>
    <col min="1806" max="1806" width="13.5703125" style="68" customWidth="1"/>
    <col min="1807" max="1807" width="14.5703125" style="68" customWidth="1"/>
    <col min="1808" max="1808" width="13.42578125" style="68" bestFit="1" customWidth="1"/>
    <col min="1809" max="2055" width="9.140625" style="68"/>
    <col min="2056" max="2056" width="10.140625" style="68" bestFit="1" customWidth="1"/>
    <col min="2057" max="2057" width="24.7109375" style="68" customWidth="1"/>
    <col min="2058" max="2058" width="14.85546875" style="68" customWidth="1"/>
    <col min="2059" max="2059" width="13.42578125" style="68" customWidth="1"/>
    <col min="2060" max="2060" width="13.5703125" style="68" customWidth="1"/>
    <col min="2061" max="2061" width="23.42578125" style="68" customWidth="1"/>
    <col min="2062" max="2062" width="13.5703125" style="68" customWidth="1"/>
    <col min="2063" max="2063" width="14.5703125" style="68" customWidth="1"/>
    <col min="2064" max="2064" width="13.42578125" style="68" bestFit="1" customWidth="1"/>
    <col min="2065" max="2311" width="9.140625" style="68"/>
    <col min="2312" max="2312" width="10.140625" style="68" bestFit="1" customWidth="1"/>
    <col min="2313" max="2313" width="24.7109375" style="68" customWidth="1"/>
    <col min="2314" max="2314" width="14.85546875" style="68" customWidth="1"/>
    <col min="2315" max="2315" width="13.42578125" style="68" customWidth="1"/>
    <col min="2316" max="2316" width="13.5703125" style="68" customWidth="1"/>
    <col min="2317" max="2317" width="23.42578125" style="68" customWidth="1"/>
    <col min="2318" max="2318" width="13.5703125" style="68" customWidth="1"/>
    <col min="2319" max="2319" width="14.5703125" style="68" customWidth="1"/>
    <col min="2320" max="2320" width="13.42578125" style="68" bestFit="1" customWidth="1"/>
    <col min="2321" max="2567" width="9.140625" style="68"/>
    <col min="2568" max="2568" width="10.140625" style="68" bestFit="1" customWidth="1"/>
    <col min="2569" max="2569" width="24.7109375" style="68" customWidth="1"/>
    <col min="2570" max="2570" width="14.85546875" style="68" customWidth="1"/>
    <col min="2571" max="2571" width="13.42578125" style="68" customWidth="1"/>
    <col min="2572" max="2572" width="13.5703125" style="68" customWidth="1"/>
    <col min="2573" max="2573" width="23.42578125" style="68" customWidth="1"/>
    <col min="2574" max="2574" width="13.5703125" style="68" customWidth="1"/>
    <col min="2575" max="2575" width="14.5703125" style="68" customWidth="1"/>
    <col min="2576" max="2576" width="13.42578125" style="68" bestFit="1" customWidth="1"/>
    <col min="2577" max="2823" width="9.140625" style="68"/>
    <col min="2824" max="2824" width="10.140625" style="68" bestFit="1" customWidth="1"/>
    <col min="2825" max="2825" width="24.7109375" style="68" customWidth="1"/>
    <col min="2826" max="2826" width="14.85546875" style="68" customWidth="1"/>
    <col min="2827" max="2827" width="13.42578125" style="68" customWidth="1"/>
    <col min="2828" max="2828" width="13.5703125" style="68" customWidth="1"/>
    <col min="2829" max="2829" width="23.42578125" style="68" customWidth="1"/>
    <col min="2830" max="2830" width="13.5703125" style="68" customWidth="1"/>
    <col min="2831" max="2831" width="14.5703125" style="68" customWidth="1"/>
    <col min="2832" max="2832" width="13.42578125" style="68" bestFit="1" customWidth="1"/>
    <col min="2833" max="3079" width="9.140625" style="68"/>
    <col min="3080" max="3080" width="10.140625" style="68" bestFit="1" customWidth="1"/>
    <col min="3081" max="3081" width="24.7109375" style="68" customWidth="1"/>
    <col min="3082" max="3082" width="14.85546875" style="68" customWidth="1"/>
    <col min="3083" max="3083" width="13.42578125" style="68" customWidth="1"/>
    <col min="3084" max="3084" width="13.5703125" style="68" customWidth="1"/>
    <col min="3085" max="3085" width="23.42578125" style="68" customWidth="1"/>
    <col min="3086" max="3086" width="13.5703125" style="68" customWidth="1"/>
    <col min="3087" max="3087" width="14.5703125" style="68" customWidth="1"/>
    <col min="3088" max="3088" width="13.42578125" style="68" bestFit="1" customWidth="1"/>
    <col min="3089" max="3335" width="9.140625" style="68"/>
    <col min="3336" max="3336" width="10.140625" style="68" bestFit="1" customWidth="1"/>
    <col min="3337" max="3337" width="24.7109375" style="68" customWidth="1"/>
    <col min="3338" max="3338" width="14.85546875" style="68" customWidth="1"/>
    <col min="3339" max="3339" width="13.42578125" style="68" customWidth="1"/>
    <col min="3340" max="3340" width="13.5703125" style="68" customWidth="1"/>
    <col min="3341" max="3341" width="23.42578125" style="68" customWidth="1"/>
    <col min="3342" max="3342" width="13.5703125" style="68" customWidth="1"/>
    <col min="3343" max="3343" width="14.5703125" style="68" customWidth="1"/>
    <col min="3344" max="3344" width="13.42578125" style="68" bestFit="1" customWidth="1"/>
    <col min="3345" max="3591" width="9.140625" style="68"/>
    <col min="3592" max="3592" width="10.140625" style="68" bestFit="1" customWidth="1"/>
    <col min="3593" max="3593" width="24.7109375" style="68" customWidth="1"/>
    <col min="3594" max="3594" width="14.85546875" style="68" customWidth="1"/>
    <col min="3595" max="3595" width="13.42578125" style="68" customWidth="1"/>
    <col min="3596" max="3596" width="13.5703125" style="68" customWidth="1"/>
    <col min="3597" max="3597" width="23.42578125" style="68" customWidth="1"/>
    <col min="3598" max="3598" width="13.5703125" style="68" customWidth="1"/>
    <col min="3599" max="3599" width="14.5703125" style="68" customWidth="1"/>
    <col min="3600" max="3600" width="13.42578125" style="68" bestFit="1" customWidth="1"/>
    <col min="3601" max="3847" width="9.140625" style="68"/>
    <col min="3848" max="3848" width="10.140625" style="68" bestFit="1" customWidth="1"/>
    <col min="3849" max="3849" width="24.7109375" style="68" customWidth="1"/>
    <col min="3850" max="3850" width="14.85546875" style="68" customWidth="1"/>
    <col min="3851" max="3851" width="13.42578125" style="68" customWidth="1"/>
    <col min="3852" max="3852" width="13.5703125" style="68" customWidth="1"/>
    <col min="3853" max="3853" width="23.42578125" style="68" customWidth="1"/>
    <col min="3854" max="3854" width="13.5703125" style="68" customWidth="1"/>
    <col min="3855" max="3855" width="14.5703125" style="68" customWidth="1"/>
    <col min="3856" max="3856" width="13.42578125" style="68" bestFit="1" customWidth="1"/>
    <col min="3857" max="4103" width="9.140625" style="68"/>
    <col min="4104" max="4104" width="10.140625" style="68" bestFit="1" customWidth="1"/>
    <col min="4105" max="4105" width="24.7109375" style="68" customWidth="1"/>
    <col min="4106" max="4106" width="14.85546875" style="68" customWidth="1"/>
    <col min="4107" max="4107" width="13.42578125" style="68" customWidth="1"/>
    <col min="4108" max="4108" width="13.5703125" style="68" customWidth="1"/>
    <col min="4109" max="4109" width="23.42578125" style="68" customWidth="1"/>
    <col min="4110" max="4110" width="13.5703125" style="68" customWidth="1"/>
    <col min="4111" max="4111" width="14.5703125" style="68" customWidth="1"/>
    <col min="4112" max="4112" width="13.42578125" style="68" bestFit="1" customWidth="1"/>
    <col min="4113" max="4359" width="9.140625" style="68"/>
    <col min="4360" max="4360" width="10.140625" style="68" bestFit="1" customWidth="1"/>
    <col min="4361" max="4361" width="24.7109375" style="68" customWidth="1"/>
    <col min="4362" max="4362" width="14.85546875" style="68" customWidth="1"/>
    <col min="4363" max="4363" width="13.42578125" style="68" customWidth="1"/>
    <col min="4364" max="4364" width="13.5703125" style="68" customWidth="1"/>
    <col min="4365" max="4365" width="23.42578125" style="68" customWidth="1"/>
    <col min="4366" max="4366" width="13.5703125" style="68" customWidth="1"/>
    <col min="4367" max="4367" width="14.5703125" style="68" customWidth="1"/>
    <col min="4368" max="4368" width="13.42578125" style="68" bestFit="1" customWidth="1"/>
    <col min="4369" max="4615" width="9.140625" style="68"/>
    <col min="4616" max="4616" width="10.140625" style="68" bestFit="1" customWidth="1"/>
    <col min="4617" max="4617" width="24.7109375" style="68" customWidth="1"/>
    <col min="4618" max="4618" width="14.85546875" style="68" customWidth="1"/>
    <col min="4619" max="4619" width="13.42578125" style="68" customWidth="1"/>
    <col min="4620" max="4620" width="13.5703125" style="68" customWidth="1"/>
    <col min="4621" max="4621" width="23.42578125" style="68" customWidth="1"/>
    <col min="4622" max="4622" width="13.5703125" style="68" customWidth="1"/>
    <col min="4623" max="4623" width="14.5703125" style="68" customWidth="1"/>
    <col min="4624" max="4624" width="13.42578125" style="68" bestFit="1" customWidth="1"/>
    <col min="4625" max="4871" width="9.140625" style="68"/>
    <col min="4872" max="4872" width="10.140625" style="68" bestFit="1" customWidth="1"/>
    <col min="4873" max="4873" width="24.7109375" style="68" customWidth="1"/>
    <col min="4874" max="4874" width="14.85546875" style="68" customWidth="1"/>
    <col min="4875" max="4875" width="13.42578125" style="68" customWidth="1"/>
    <col min="4876" max="4876" width="13.5703125" style="68" customWidth="1"/>
    <col min="4877" max="4877" width="23.42578125" style="68" customWidth="1"/>
    <col min="4878" max="4878" width="13.5703125" style="68" customWidth="1"/>
    <col min="4879" max="4879" width="14.5703125" style="68" customWidth="1"/>
    <col min="4880" max="4880" width="13.42578125" style="68" bestFit="1" customWidth="1"/>
    <col min="4881" max="5127" width="9.140625" style="68"/>
    <col min="5128" max="5128" width="10.140625" style="68" bestFit="1" customWidth="1"/>
    <col min="5129" max="5129" width="24.7109375" style="68" customWidth="1"/>
    <col min="5130" max="5130" width="14.85546875" style="68" customWidth="1"/>
    <col min="5131" max="5131" width="13.42578125" style="68" customWidth="1"/>
    <col min="5132" max="5132" width="13.5703125" style="68" customWidth="1"/>
    <col min="5133" max="5133" width="23.42578125" style="68" customWidth="1"/>
    <col min="5134" max="5134" width="13.5703125" style="68" customWidth="1"/>
    <col min="5135" max="5135" width="14.5703125" style="68" customWidth="1"/>
    <col min="5136" max="5136" width="13.42578125" style="68" bestFit="1" customWidth="1"/>
    <col min="5137" max="5383" width="9.140625" style="68"/>
    <col min="5384" max="5384" width="10.140625" style="68" bestFit="1" customWidth="1"/>
    <col min="5385" max="5385" width="24.7109375" style="68" customWidth="1"/>
    <col min="5386" max="5386" width="14.85546875" style="68" customWidth="1"/>
    <col min="5387" max="5387" width="13.42578125" style="68" customWidth="1"/>
    <col min="5388" max="5388" width="13.5703125" style="68" customWidth="1"/>
    <col min="5389" max="5389" width="23.42578125" style="68" customWidth="1"/>
    <col min="5390" max="5390" width="13.5703125" style="68" customWidth="1"/>
    <col min="5391" max="5391" width="14.5703125" style="68" customWidth="1"/>
    <col min="5392" max="5392" width="13.42578125" style="68" bestFit="1" customWidth="1"/>
    <col min="5393" max="5639" width="9.140625" style="68"/>
    <col min="5640" max="5640" width="10.140625" style="68" bestFit="1" customWidth="1"/>
    <col min="5641" max="5641" width="24.7109375" style="68" customWidth="1"/>
    <col min="5642" max="5642" width="14.85546875" style="68" customWidth="1"/>
    <col min="5643" max="5643" width="13.42578125" style="68" customWidth="1"/>
    <col min="5644" max="5644" width="13.5703125" style="68" customWidth="1"/>
    <col min="5645" max="5645" width="23.42578125" style="68" customWidth="1"/>
    <col min="5646" max="5646" width="13.5703125" style="68" customWidth="1"/>
    <col min="5647" max="5647" width="14.5703125" style="68" customWidth="1"/>
    <col min="5648" max="5648" width="13.42578125" style="68" bestFit="1" customWidth="1"/>
    <col min="5649" max="5895" width="9.140625" style="68"/>
    <col min="5896" max="5896" width="10.140625" style="68" bestFit="1" customWidth="1"/>
    <col min="5897" max="5897" width="24.7109375" style="68" customWidth="1"/>
    <col min="5898" max="5898" width="14.85546875" style="68" customWidth="1"/>
    <col min="5899" max="5899" width="13.42578125" style="68" customWidth="1"/>
    <col min="5900" max="5900" width="13.5703125" style="68" customWidth="1"/>
    <col min="5901" max="5901" width="23.42578125" style="68" customWidth="1"/>
    <col min="5902" max="5902" width="13.5703125" style="68" customWidth="1"/>
    <col min="5903" max="5903" width="14.5703125" style="68" customWidth="1"/>
    <col min="5904" max="5904" width="13.42578125" style="68" bestFit="1" customWidth="1"/>
    <col min="5905" max="6151" width="9.140625" style="68"/>
    <col min="6152" max="6152" width="10.140625" style="68" bestFit="1" customWidth="1"/>
    <col min="6153" max="6153" width="24.7109375" style="68" customWidth="1"/>
    <col min="6154" max="6154" width="14.85546875" style="68" customWidth="1"/>
    <col min="6155" max="6155" width="13.42578125" style="68" customWidth="1"/>
    <col min="6156" max="6156" width="13.5703125" style="68" customWidth="1"/>
    <col min="6157" max="6157" width="23.42578125" style="68" customWidth="1"/>
    <col min="6158" max="6158" width="13.5703125" style="68" customWidth="1"/>
    <col min="6159" max="6159" width="14.5703125" style="68" customWidth="1"/>
    <col min="6160" max="6160" width="13.42578125" style="68" bestFit="1" customWidth="1"/>
    <col min="6161" max="6407" width="9.140625" style="68"/>
    <col min="6408" max="6408" width="10.140625" style="68" bestFit="1" customWidth="1"/>
    <col min="6409" max="6409" width="24.7109375" style="68" customWidth="1"/>
    <col min="6410" max="6410" width="14.85546875" style="68" customWidth="1"/>
    <col min="6411" max="6411" width="13.42578125" style="68" customWidth="1"/>
    <col min="6412" max="6412" width="13.5703125" style="68" customWidth="1"/>
    <col min="6413" max="6413" width="23.42578125" style="68" customWidth="1"/>
    <col min="6414" max="6414" width="13.5703125" style="68" customWidth="1"/>
    <col min="6415" max="6415" width="14.5703125" style="68" customWidth="1"/>
    <col min="6416" max="6416" width="13.42578125" style="68" bestFit="1" customWidth="1"/>
    <col min="6417" max="6663" width="9.140625" style="68"/>
    <col min="6664" max="6664" width="10.140625" style="68" bestFit="1" customWidth="1"/>
    <col min="6665" max="6665" width="24.7109375" style="68" customWidth="1"/>
    <col min="6666" max="6666" width="14.85546875" style="68" customWidth="1"/>
    <col min="6667" max="6667" width="13.42578125" style="68" customWidth="1"/>
    <col min="6668" max="6668" width="13.5703125" style="68" customWidth="1"/>
    <col min="6669" max="6669" width="23.42578125" style="68" customWidth="1"/>
    <col min="6670" max="6670" width="13.5703125" style="68" customWidth="1"/>
    <col min="6671" max="6671" width="14.5703125" style="68" customWidth="1"/>
    <col min="6672" max="6672" width="13.42578125" style="68" bestFit="1" customWidth="1"/>
    <col min="6673" max="6919" width="9.140625" style="68"/>
    <col min="6920" max="6920" width="10.140625" style="68" bestFit="1" customWidth="1"/>
    <col min="6921" max="6921" width="24.7109375" style="68" customWidth="1"/>
    <col min="6922" max="6922" width="14.85546875" style="68" customWidth="1"/>
    <col min="6923" max="6923" width="13.42578125" style="68" customWidth="1"/>
    <col min="6924" max="6924" width="13.5703125" style="68" customWidth="1"/>
    <col min="6925" max="6925" width="23.42578125" style="68" customWidth="1"/>
    <col min="6926" max="6926" width="13.5703125" style="68" customWidth="1"/>
    <col min="6927" max="6927" width="14.5703125" style="68" customWidth="1"/>
    <col min="6928" max="6928" width="13.42578125" style="68" bestFit="1" customWidth="1"/>
    <col min="6929" max="7175" width="9.140625" style="68"/>
    <col min="7176" max="7176" width="10.140625" style="68" bestFit="1" customWidth="1"/>
    <col min="7177" max="7177" width="24.7109375" style="68" customWidth="1"/>
    <col min="7178" max="7178" width="14.85546875" style="68" customWidth="1"/>
    <col min="7179" max="7179" width="13.42578125" style="68" customWidth="1"/>
    <col min="7180" max="7180" width="13.5703125" style="68" customWidth="1"/>
    <col min="7181" max="7181" width="23.42578125" style="68" customWidth="1"/>
    <col min="7182" max="7182" width="13.5703125" style="68" customWidth="1"/>
    <col min="7183" max="7183" width="14.5703125" style="68" customWidth="1"/>
    <col min="7184" max="7184" width="13.42578125" style="68" bestFit="1" customWidth="1"/>
    <col min="7185" max="7431" width="9.140625" style="68"/>
    <col min="7432" max="7432" width="10.140625" style="68" bestFit="1" customWidth="1"/>
    <col min="7433" max="7433" width="24.7109375" style="68" customWidth="1"/>
    <col min="7434" max="7434" width="14.85546875" style="68" customWidth="1"/>
    <col min="7435" max="7435" width="13.42578125" style="68" customWidth="1"/>
    <col min="7436" max="7436" width="13.5703125" style="68" customWidth="1"/>
    <col min="7437" max="7437" width="23.42578125" style="68" customWidth="1"/>
    <col min="7438" max="7438" width="13.5703125" style="68" customWidth="1"/>
    <col min="7439" max="7439" width="14.5703125" style="68" customWidth="1"/>
    <col min="7440" max="7440" width="13.42578125" style="68" bestFit="1" customWidth="1"/>
    <col min="7441" max="7687" width="9.140625" style="68"/>
    <col min="7688" max="7688" width="10.140625" style="68" bestFit="1" customWidth="1"/>
    <col min="7689" max="7689" width="24.7109375" style="68" customWidth="1"/>
    <col min="7690" max="7690" width="14.85546875" style="68" customWidth="1"/>
    <col min="7691" max="7691" width="13.42578125" style="68" customWidth="1"/>
    <col min="7692" max="7692" width="13.5703125" style="68" customWidth="1"/>
    <col min="7693" max="7693" width="23.42578125" style="68" customWidth="1"/>
    <col min="7694" max="7694" width="13.5703125" style="68" customWidth="1"/>
    <col min="7695" max="7695" width="14.5703125" style="68" customWidth="1"/>
    <col min="7696" max="7696" width="13.42578125" style="68" bestFit="1" customWidth="1"/>
    <col min="7697" max="7943" width="9.140625" style="68"/>
    <col min="7944" max="7944" width="10.140625" style="68" bestFit="1" customWidth="1"/>
    <col min="7945" max="7945" width="24.7109375" style="68" customWidth="1"/>
    <col min="7946" max="7946" width="14.85546875" style="68" customWidth="1"/>
    <col min="7947" max="7947" width="13.42578125" style="68" customWidth="1"/>
    <col min="7948" max="7948" width="13.5703125" style="68" customWidth="1"/>
    <col min="7949" max="7949" width="23.42578125" style="68" customWidth="1"/>
    <col min="7950" max="7950" width="13.5703125" style="68" customWidth="1"/>
    <col min="7951" max="7951" width="14.5703125" style="68" customWidth="1"/>
    <col min="7952" max="7952" width="13.42578125" style="68" bestFit="1" customWidth="1"/>
    <col min="7953" max="8199" width="9.140625" style="68"/>
    <col min="8200" max="8200" width="10.140625" style="68" bestFit="1" customWidth="1"/>
    <col min="8201" max="8201" width="24.7109375" style="68" customWidth="1"/>
    <col min="8202" max="8202" width="14.85546875" style="68" customWidth="1"/>
    <col min="8203" max="8203" width="13.42578125" style="68" customWidth="1"/>
    <col min="8204" max="8204" width="13.5703125" style="68" customWidth="1"/>
    <col min="8205" max="8205" width="23.42578125" style="68" customWidth="1"/>
    <col min="8206" max="8206" width="13.5703125" style="68" customWidth="1"/>
    <col min="8207" max="8207" width="14.5703125" style="68" customWidth="1"/>
    <col min="8208" max="8208" width="13.42578125" style="68" bestFit="1" customWidth="1"/>
    <col min="8209" max="8455" width="9.140625" style="68"/>
    <col min="8456" max="8456" width="10.140625" style="68" bestFit="1" customWidth="1"/>
    <col min="8457" max="8457" width="24.7109375" style="68" customWidth="1"/>
    <col min="8458" max="8458" width="14.85546875" style="68" customWidth="1"/>
    <col min="8459" max="8459" width="13.42578125" style="68" customWidth="1"/>
    <col min="8460" max="8460" width="13.5703125" style="68" customWidth="1"/>
    <col min="8461" max="8461" width="23.42578125" style="68" customWidth="1"/>
    <col min="8462" max="8462" width="13.5703125" style="68" customWidth="1"/>
    <col min="8463" max="8463" width="14.5703125" style="68" customWidth="1"/>
    <col min="8464" max="8464" width="13.42578125" style="68" bestFit="1" customWidth="1"/>
    <col min="8465" max="8711" width="9.140625" style="68"/>
    <col min="8712" max="8712" width="10.140625" style="68" bestFit="1" customWidth="1"/>
    <col min="8713" max="8713" width="24.7109375" style="68" customWidth="1"/>
    <col min="8714" max="8714" width="14.85546875" style="68" customWidth="1"/>
    <col min="8715" max="8715" width="13.42578125" style="68" customWidth="1"/>
    <col min="8716" max="8716" width="13.5703125" style="68" customWidth="1"/>
    <col min="8717" max="8717" width="23.42578125" style="68" customWidth="1"/>
    <col min="8718" max="8718" width="13.5703125" style="68" customWidth="1"/>
    <col min="8719" max="8719" width="14.5703125" style="68" customWidth="1"/>
    <col min="8720" max="8720" width="13.42578125" style="68" bestFit="1" customWidth="1"/>
    <col min="8721" max="8967" width="9.140625" style="68"/>
    <col min="8968" max="8968" width="10.140625" style="68" bestFit="1" customWidth="1"/>
    <col min="8969" max="8969" width="24.7109375" style="68" customWidth="1"/>
    <col min="8970" max="8970" width="14.85546875" style="68" customWidth="1"/>
    <col min="8971" max="8971" width="13.42578125" style="68" customWidth="1"/>
    <col min="8972" max="8972" width="13.5703125" style="68" customWidth="1"/>
    <col min="8973" max="8973" width="23.42578125" style="68" customWidth="1"/>
    <col min="8974" max="8974" width="13.5703125" style="68" customWidth="1"/>
    <col min="8975" max="8975" width="14.5703125" style="68" customWidth="1"/>
    <col min="8976" max="8976" width="13.42578125" style="68" bestFit="1" customWidth="1"/>
    <col min="8977" max="9223" width="9.140625" style="68"/>
    <col min="9224" max="9224" width="10.140625" style="68" bestFit="1" customWidth="1"/>
    <col min="9225" max="9225" width="24.7109375" style="68" customWidth="1"/>
    <col min="9226" max="9226" width="14.85546875" style="68" customWidth="1"/>
    <col min="9227" max="9227" width="13.42578125" style="68" customWidth="1"/>
    <col min="9228" max="9228" width="13.5703125" style="68" customWidth="1"/>
    <col min="9229" max="9229" width="23.42578125" style="68" customWidth="1"/>
    <col min="9230" max="9230" width="13.5703125" style="68" customWidth="1"/>
    <col min="9231" max="9231" width="14.5703125" style="68" customWidth="1"/>
    <col min="9232" max="9232" width="13.42578125" style="68" bestFit="1" customWidth="1"/>
    <col min="9233" max="9479" width="9.140625" style="68"/>
    <col min="9480" max="9480" width="10.140625" style="68" bestFit="1" customWidth="1"/>
    <col min="9481" max="9481" width="24.7109375" style="68" customWidth="1"/>
    <col min="9482" max="9482" width="14.85546875" style="68" customWidth="1"/>
    <col min="9483" max="9483" width="13.42578125" style="68" customWidth="1"/>
    <col min="9484" max="9484" width="13.5703125" style="68" customWidth="1"/>
    <col min="9485" max="9485" width="23.42578125" style="68" customWidth="1"/>
    <col min="9486" max="9486" width="13.5703125" style="68" customWidth="1"/>
    <col min="9487" max="9487" width="14.5703125" style="68" customWidth="1"/>
    <col min="9488" max="9488" width="13.42578125" style="68" bestFit="1" customWidth="1"/>
    <col min="9489" max="9735" width="9.140625" style="68"/>
    <col min="9736" max="9736" width="10.140625" style="68" bestFit="1" customWidth="1"/>
    <col min="9737" max="9737" width="24.7109375" style="68" customWidth="1"/>
    <col min="9738" max="9738" width="14.85546875" style="68" customWidth="1"/>
    <col min="9739" max="9739" width="13.42578125" style="68" customWidth="1"/>
    <col min="9740" max="9740" width="13.5703125" style="68" customWidth="1"/>
    <col min="9741" max="9741" width="23.42578125" style="68" customWidth="1"/>
    <col min="9742" max="9742" width="13.5703125" style="68" customWidth="1"/>
    <col min="9743" max="9743" width="14.5703125" style="68" customWidth="1"/>
    <col min="9744" max="9744" width="13.42578125" style="68" bestFit="1" customWidth="1"/>
    <col min="9745" max="9991" width="9.140625" style="68"/>
    <col min="9992" max="9992" width="10.140625" style="68" bestFit="1" customWidth="1"/>
    <col min="9993" max="9993" width="24.7109375" style="68" customWidth="1"/>
    <col min="9994" max="9994" width="14.85546875" style="68" customWidth="1"/>
    <col min="9995" max="9995" width="13.42578125" style="68" customWidth="1"/>
    <col min="9996" max="9996" width="13.5703125" style="68" customWidth="1"/>
    <col min="9997" max="9997" width="23.42578125" style="68" customWidth="1"/>
    <col min="9998" max="9998" width="13.5703125" style="68" customWidth="1"/>
    <col min="9999" max="9999" width="14.5703125" style="68" customWidth="1"/>
    <col min="10000" max="10000" width="13.42578125" style="68" bestFit="1" customWidth="1"/>
    <col min="10001" max="10247" width="9.140625" style="68"/>
    <col min="10248" max="10248" width="10.140625" style="68" bestFit="1" customWidth="1"/>
    <col min="10249" max="10249" width="24.7109375" style="68" customWidth="1"/>
    <col min="10250" max="10250" width="14.85546875" style="68" customWidth="1"/>
    <col min="10251" max="10251" width="13.42578125" style="68" customWidth="1"/>
    <col min="10252" max="10252" width="13.5703125" style="68" customWidth="1"/>
    <col min="10253" max="10253" width="23.42578125" style="68" customWidth="1"/>
    <col min="10254" max="10254" width="13.5703125" style="68" customWidth="1"/>
    <col min="10255" max="10255" width="14.5703125" style="68" customWidth="1"/>
    <col min="10256" max="10256" width="13.42578125" style="68" bestFit="1" customWidth="1"/>
    <col min="10257" max="10503" width="9.140625" style="68"/>
    <col min="10504" max="10504" width="10.140625" style="68" bestFit="1" customWidth="1"/>
    <col min="10505" max="10505" width="24.7109375" style="68" customWidth="1"/>
    <col min="10506" max="10506" width="14.85546875" style="68" customWidth="1"/>
    <col min="10507" max="10507" width="13.42578125" style="68" customWidth="1"/>
    <col min="10508" max="10508" width="13.5703125" style="68" customWidth="1"/>
    <col min="10509" max="10509" width="23.42578125" style="68" customWidth="1"/>
    <col min="10510" max="10510" width="13.5703125" style="68" customWidth="1"/>
    <col min="10511" max="10511" width="14.5703125" style="68" customWidth="1"/>
    <col min="10512" max="10512" width="13.42578125" style="68" bestFit="1" customWidth="1"/>
    <col min="10513" max="10759" width="9.140625" style="68"/>
    <col min="10760" max="10760" width="10.140625" style="68" bestFit="1" customWidth="1"/>
    <col min="10761" max="10761" width="24.7109375" style="68" customWidth="1"/>
    <col min="10762" max="10762" width="14.85546875" style="68" customWidth="1"/>
    <col min="10763" max="10763" width="13.42578125" style="68" customWidth="1"/>
    <col min="10764" max="10764" width="13.5703125" style="68" customWidth="1"/>
    <col min="10765" max="10765" width="23.42578125" style="68" customWidth="1"/>
    <col min="10766" max="10766" width="13.5703125" style="68" customWidth="1"/>
    <col min="10767" max="10767" width="14.5703125" style="68" customWidth="1"/>
    <col min="10768" max="10768" width="13.42578125" style="68" bestFit="1" customWidth="1"/>
    <col min="10769" max="11015" width="9.140625" style="68"/>
    <col min="11016" max="11016" width="10.140625" style="68" bestFit="1" customWidth="1"/>
    <col min="11017" max="11017" width="24.7109375" style="68" customWidth="1"/>
    <col min="11018" max="11018" width="14.85546875" style="68" customWidth="1"/>
    <col min="11019" max="11019" width="13.42578125" style="68" customWidth="1"/>
    <col min="11020" max="11020" width="13.5703125" style="68" customWidth="1"/>
    <col min="11021" max="11021" width="23.42578125" style="68" customWidth="1"/>
    <col min="11022" max="11022" width="13.5703125" style="68" customWidth="1"/>
    <col min="11023" max="11023" width="14.5703125" style="68" customWidth="1"/>
    <col min="11024" max="11024" width="13.42578125" style="68" bestFit="1" customWidth="1"/>
    <col min="11025" max="11271" width="9.140625" style="68"/>
    <col min="11272" max="11272" width="10.140625" style="68" bestFit="1" customWidth="1"/>
    <col min="11273" max="11273" width="24.7109375" style="68" customWidth="1"/>
    <col min="11274" max="11274" width="14.85546875" style="68" customWidth="1"/>
    <col min="11275" max="11275" width="13.42578125" style="68" customWidth="1"/>
    <col min="11276" max="11276" width="13.5703125" style="68" customWidth="1"/>
    <col min="11277" max="11277" width="23.42578125" style="68" customWidth="1"/>
    <col min="11278" max="11278" width="13.5703125" style="68" customWidth="1"/>
    <col min="11279" max="11279" width="14.5703125" style="68" customWidth="1"/>
    <col min="11280" max="11280" width="13.42578125" style="68" bestFit="1" customWidth="1"/>
    <col min="11281" max="11527" width="9.140625" style="68"/>
    <col min="11528" max="11528" width="10.140625" style="68" bestFit="1" customWidth="1"/>
    <col min="11529" max="11529" width="24.7109375" style="68" customWidth="1"/>
    <col min="11530" max="11530" width="14.85546875" style="68" customWidth="1"/>
    <col min="11531" max="11531" width="13.42578125" style="68" customWidth="1"/>
    <col min="11532" max="11532" width="13.5703125" style="68" customWidth="1"/>
    <col min="11533" max="11533" width="23.42578125" style="68" customWidth="1"/>
    <col min="11534" max="11534" width="13.5703125" style="68" customWidth="1"/>
    <col min="11535" max="11535" width="14.5703125" style="68" customWidth="1"/>
    <col min="11536" max="11536" width="13.42578125" style="68" bestFit="1" customWidth="1"/>
    <col min="11537" max="11783" width="9.140625" style="68"/>
    <col min="11784" max="11784" width="10.140625" style="68" bestFit="1" customWidth="1"/>
    <col min="11785" max="11785" width="24.7109375" style="68" customWidth="1"/>
    <col min="11786" max="11786" width="14.85546875" style="68" customWidth="1"/>
    <col min="11787" max="11787" width="13.42578125" style="68" customWidth="1"/>
    <col min="11788" max="11788" width="13.5703125" style="68" customWidth="1"/>
    <col min="11789" max="11789" width="23.42578125" style="68" customWidth="1"/>
    <col min="11790" max="11790" width="13.5703125" style="68" customWidth="1"/>
    <col min="11791" max="11791" width="14.5703125" style="68" customWidth="1"/>
    <col min="11792" max="11792" width="13.42578125" style="68" bestFit="1" customWidth="1"/>
    <col min="11793" max="12039" width="9.140625" style="68"/>
    <col min="12040" max="12040" width="10.140625" style="68" bestFit="1" customWidth="1"/>
    <col min="12041" max="12041" width="24.7109375" style="68" customWidth="1"/>
    <col min="12042" max="12042" width="14.85546875" style="68" customWidth="1"/>
    <col min="12043" max="12043" width="13.42578125" style="68" customWidth="1"/>
    <col min="12044" max="12044" width="13.5703125" style="68" customWidth="1"/>
    <col min="12045" max="12045" width="23.42578125" style="68" customWidth="1"/>
    <col min="12046" max="12046" width="13.5703125" style="68" customWidth="1"/>
    <col min="12047" max="12047" width="14.5703125" style="68" customWidth="1"/>
    <col min="12048" max="12048" width="13.42578125" style="68" bestFit="1" customWidth="1"/>
    <col min="12049" max="12295" width="9.140625" style="68"/>
    <col min="12296" max="12296" width="10.140625" style="68" bestFit="1" customWidth="1"/>
    <col min="12297" max="12297" width="24.7109375" style="68" customWidth="1"/>
    <col min="12298" max="12298" width="14.85546875" style="68" customWidth="1"/>
    <col min="12299" max="12299" width="13.42578125" style="68" customWidth="1"/>
    <col min="12300" max="12300" width="13.5703125" style="68" customWidth="1"/>
    <col min="12301" max="12301" width="23.42578125" style="68" customWidth="1"/>
    <col min="12302" max="12302" width="13.5703125" style="68" customWidth="1"/>
    <col min="12303" max="12303" width="14.5703125" style="68" customWidth="1"/>
    <col min="12304" max="12304" width="13.42578125" style="68" bestFit="1" customWidth="1"/>
    <col min="12305" max="12551" width="9.140625" style="68"/>
    <col min="12552" max="12552" width="10.140625" style="68" bestFit="1" customWidth="1"/>
    <col min="12553" max="12553" width="24.7109375" style="68" customWidth="1"/>
    <col min="12554" max="12554" width="14.85546875" style="68" customWidth="1"/>
    <col min="12555" max="12555" width="13.42578125" style="68" customWidth="1"/>
    <col min="12556" max="12556" width="13.5703125" style="68" customWidth="1"/>
    <col min="12557" max="12557" width="23.42578125" style="68" customWidth="1"/>
    <col min="12558" max="12558" width="13.5703125" style="68" customWidth="1"/>
    <col min="12559" max="12559" width="14.5703125" style="68" customWidth="1"/>
    <col min="12560" max="12560" width="13.42578125" style="68" bestFit="1" customWidth="1"/>
    <col min="12561" max="12807" width="9.140625" style="68"/>
    <col min="12808" max="12808" width="10.140625" style="68" bestFit="1" customWidth="1"/>
    <col min="12809" max="12809" width="24.7109375" style="68" customWidth="1"/>
    <col min="12810" max="12810" width="14.85546875" style="68" customWidth="1"/>
    <col min="12811" max="12811" width="13.42578125" style="68" customWidth="1"/>
    <col min="12812" max="12812" width="13.5703125" style="68" customWidth="1"/>
    <col min="12813" max="12813" width="23.42578125" style="68" customWidth="1"/>
    <col min="12814" max="12814" width="13.5703125" style="68" customWidth="1"/>
    <col min="12815" max="12815" width="14.5703125" style="68" customWidth="1"/>
    <col min="12816" max="12816" width="13.42578125" style="68" bestFit="1" customWidth="1"/>
    <col min="12817" max="13063" width="9.140625" style="68"/>
    <col min="13064" max="13064" width="10.140625" style="68" bestFit="1" customWidth="1"/>
    <col min="13065" max="13065" width="24.7109375" style="68" customWidth="1"/>
    <col min="13066" max="13066" width="14.85546875" style="68" customWidth="1"/>
    <col min="13067" max="13067" width="13.42578125" style="68" customWidth="1"/>
    <col min="13068" max="13068" width="13.5703125" style="68" customWidth="1"/>
    <col min="13069" max="13069" width="23.42578125" style="68" customWidth="1"/>
    <col min="13070" max="13070" width="13.5703125" style="68" customWidth="1"/>
    <col min="13071" max="13071" width="14.5703125" style="68" customWidth="1"/>
    <col min="13072" max="13072" width="13.42578125" style="68" bestFit="1" customWidth="1"/>
    <col min="13073" max="13319" width="9.140625" style="68"/>
    <col min="13320" max="13320" width="10.140625" style="68" bestFit="1" customWidth="1"/>
    <col min="13321" max="13321" width="24.7109375" style="68" customWidth="1"/>
    <col min="13322" max="13322" width="14.85546875" style="68" customWidth="1"/>
    <col min="13323" max="13323" width="13.42578125" style="68" customWidth="1"/>
    <col min="13324" max="13324" width="13.5703125" style="68" customWidth="1"/>
    <col min="13325" max="13325" width="23.42578125" style="68" customWidth="1"/>
    <col min="13326" max="13326" width="13.5703125" style="68" customWidth="1"/>
    <col min="13327" max="13327" width="14.5703125" style="68" customWidth="1"/>
    <col min="13328" max="13328" width="13.42578125" style="68" bestFit="1" customWidth="1"/>
    <col min="13329" max="13575" width="9.140625" style="68"/>
    <col min="13576" max="13576" width="10.140625" style="68" bestFit="1" customWidth="1"/>
    <col min="13577" max="13577" width="24.7109375" style="68" customWidth="1"/>
    <col min="13578" max="13578" width="14.85546875" style="68" customWidth="1"/>
    <col min="13579" max="13579" width="13.42578125" style="68" customWidth="1"/>
    <col min="13580" max="13580" width="13.5703125" style="68" customWidth="1"/>
    <col min="13581" max="13581" width="23.42578125" style="68" customWidth="1"/>
    <col min="13582" max="13582" width="13.5703125" style="68" customWidth="1"/>
    <col min="13583" max="13583" width="14.5703125" style="68" customWidth="1"/>
    <col min="13584" max="13584" width="13.42578125" style="68" bestFit="1" customWidth="1"/>
    <col min="13585" max="13831" width="9.140625" style="68"/>
    <col min="13832" max="13832" width="10.140625" style="68" bestFit="1" customWidth="1"/>
    <col min="13833" max="13833" width="24.7109375" style="68" customWidth="1"/>
    <col min="13834" max="13834" width="14.85546875" style="68" customWidth="1"/>
    <col min="13835" max="13835" width="13.42578125" style="68" customWidth="1"/>
    <col min="13836" max="13836" width="13.5703125" style="68" customWidth="1"/>
    <col min="13837" max="13837" width="23.42578125" style="68" customWidth="1"/>
    <col min="13838" max="13838" width="13.5703125" style="68" customWidth="1"/>
    <col min="13839" max="13839" width="14.5703125" style="68" customWidth="1"/>
    <col min="13840" max="13840" width="13.42578125" style="68" bestFit="1" customWidth="1"/>
    <col min="13841" max="14087" width="9.140625" style="68"/>
    <col min="14088" max="14088" width="10.140625" style="68" bestFit="1" customWidth="1"/>
    <col min="14089" max="14089" width="24.7109375" style="68" customWidth="1"/>
    <col min="14090" max="14090" width="14.85546875" style="68" customWidth="1"/>
    <col min="14091" max="14091" width="13.42578125" style="68" customWidth="1"/>
    <col min="14092" max="14092" width="13.5703125" style="68" customWidth="1"/>
    <col min="14093" max="14093" width="23.42578125" style="68" customWidth="1"/>
    <col min="14094" max="14094" width="13.5703125" style="68" customWidth="1"/>
    <col min="14095" max="14095" width="14.5703125" style="68" customWidth="1"/>
    <col min="14096" max="14096" width="13.42578125" style="68" bestFit="1" customWidth="1"/>
    <col min="14097" max="14343" width="9.140625" style="68"/>
    <col min="14344" max="14344" width="10.140625" style="68" bestFit="1" customWidth="1"/>
    <col min="14345" max="14345" width="24.7109375" style="68" customWidth="1"/>
    <col min="14346" max="14346" width="14.85546875" style="68" customWidth="1"/>
    <col min="14347" max="14347" width="13.42578125" style="68" customWidth="1"/>
    <col min="14348" max="14348" width="13.5703125" style="68" customWidth="1"/>
    <col min="14349" max="14349" width="23.42578125" style="68" customWidth="1"/>
    <col min="14350" max="14350" width="13.5703125" style="68" customWidth="1"/>
    <col min="14351" max="14351" width="14.5703125" style="68" customWidth="1"/>
    <col min="14352" max="14352" width="13.42578125" style="68" bestFit="1" customWidth="1"/>
    <col min="14353" max="14599" width="9.140625" style="68"/>
    <col min="14600" max="14600" width="10.140625" style="68" bestFit="1" customWidth="1"/>
    <col min="14601" max="14601" width="24.7109375" style="68" customWidth="1"/>
    <col min="14602" max="14602" width="14.85546875" style="68" customWidth="1"/>
    <col min="14603" max="14603" width="13.42578125" style="68" customWidth="1"/>
    <col min="14604" max="14604" width="13.5703125" style="68" customWidth="1"/>
    <col min="14605" max="14605" width="23.42578125" style="68" customWidth="1"/>
    <col min="14606" max="14606" width="13.5703125" style="68" customWidth="1"/>
    <col min="14607" max="14607" width="14.5703125" style="68" customWidth="1"/>
    <col min="14608" max="14608" width="13.42578125" style="68" bestFit="1" customWidth="1"/>
    <col min="14609" max="14855" width="9.140625" style="68"/>
    <col min="14856" max="14856" width="10.140625" style="68" bestFit="1" customWidth="1"/>
    <col min="14857" max="14857" width="24.7109375" style="68" customWidth="1"/>
    <col min="14858" max="14858" width="14.85546875" style="68" customWidth="1"/>
    <col min="14859" max="14859" width="13.42578125" style="68" customWidth="1"/>
    <col min="14860" max="14860" width="13.5703125" style="68" customWidth="1"/>
    <col min="14861" max="14861" width="23.42578125" style="68" customWidth="1"/>
    <col min="14862" max="14862" width="13.5703125" style="68" customWidth="1"/>
    <col min="14863" max="14863" width="14.5703125" style="68" customWidth="1"/>
    <col min="14864" max="14864" width="13.42578125" style="68" bestFit="1" customWidth="1"/>
    <col min="14865" max="15111" width="9.140625" style="68"/>
    <col min="15112" max="15112" width="10.140625" style="68" bestFit="1" customWidth="1"/>
    <col min="15113" max="15113" width="24.7109375" style="68" customWidth="1"/>
    <col min="15114" max="15114" width="14.85546875" style="68" customWidth="1"/>
    <col min="15115" max="15115" width="13.42578125" style="68" customWidth="1"/>
    <col min="15116" max="15116" width="13.5703125" style="68" customWidth="1"/>
    <col min="15117" max="15117" width="23.42578125" style="68" customWidth="1"/>
    <col min="15118" max="15118" width="13.5703125" style="68" customWidth="1"/>
    <col min="15119" max="15119" width="14.5703125" style="68" customWidth="1"/>
    <col min="15120" max="15120" width="13.42578125" style="68" bestFit="1" customWidth="1"/>
    <col min="15121" max="15367" width="9.140625" style="68"/>
    <col min="15368" max="15368" width="10.140625" style="68" bestFit="1" customWidth="1"/>
    <col min="15369" max="15369" width="24.7109375" style="68" customWidth="1"/>
    <col min="15370" max="15370" width="14.85546875" style="68" customWidth="1"/>
    <col min="15371" max="15371" width="13.42578125" style="68" customWidth="1"/>
    <col min="15372" max="15372" width="13.5703125" style="68" customWidth="1"/>
    <col min="15373" max="15373" width="23.42578125" style="68" customWidth="1"/>
    <col min="15374" max="15374" width="13.5703125" style="68" customWidth="1"/>
    <col min="15375" max="15375" width="14.5703125" style="68" customWidth="1"/>
    <col min="15376" max="15376" width="13.42578125" style="68" bestFit="1" customWidth="1"/>
    <col min="15377" max="15623" width="9.140625" style="68"/>
    <col min="15624" max="15624" width="10.140625" style="68" bestFit="1" customWidth="1"/>
    <col min="15625" max="15625" width="24.7109375" style="68" customWidth="1"/>
    <col min="15626" max="15626" width="14.85546875" style="68" customWidth="1"/>
    <col min="15627" max="15627" width="13.42578125" style="68" customWidth="1"/>
    <col min="15628" max="15628" width="13.5703125" style="68" customWidth="1"/>
    <col min="15629" max="15629" width="23.42578125" style="68" customWidth="1"/>
    <col min="15630" max="15630" width="13.5703125" style="68" customWidth="1"/>
    <col min="15631" max="15631" width="14.5703125" style="68" customWidth="1"/>
    <col min="15632" max="15632" width="13.42578125" style="68" bestFit="1" customWidth="1"/>
    <col min="15633" max="15879" width="9.140625" style="68"/>
    <col min="15880" max="15880" width="10.140625" style="68" bestFit="1" customWidth="1"/>
    <col min="15881" max="15881" width="24.7109375" style="68" customWidth="1"/>
    <col min="15882" max="15882" width="14.85546875" style="68" customWidth="1"/>
    <col min="15883" max="15883" width="13.42578125" style="68" customWidth="1"/>
    <col min="15884" max="15884" width="13.5703125" style="68" customWidth="1"/>
    <col min="15885" max="15885" width="23.42578125" style="68" customWidth="1"/>
    <col min="15886" max="15886" width="13.5703125" style="68" customWidth="1"/>
    <col min="15887" max="15887" width="14.5703125" style="68" customWidth="1"/>
    <col min="15888" max="15888" width="13.42578125" style="68" bestFit="1" customWidth="1"/>
    <col min="15889" max="16135" width="9.140625" style="68"/>
    <col min="16136" max="16136" width="10.140625" style="68" bestFit="1" customWidth="1"/>
    <col min="16137" max="16137" width="24.7109375" style="68" customWidth="1"/>
    <col min="16138" max="16138" width="14.85546875" style="68" customWidth="1"/>
    <col min="16139" max="16139" width="13.42578125" style="68" customWidth="1"/>
    <col min="16140" max="16140" width="13.5703125" style="68" customWidth="1"/>
    <col min="16141" max="16141" width="23.42578125" style="68" customWidth="1"/>
    <col min="16142" max="16142" width="13.5703125" style="68" customWidth="1"/>
    <col min="16143" max="16143" width="14.5703125" style="68" customWidth="1"/>
    <col min="16144" max="16144" width="13.42578125" style="68" bestFit="1" customWidth="1"/>
    <col min="16145" max="16384" width="9.140625" style="68"/>
  </cols>
  <sheetData>
    <row r="1" spans="1:15" s="118" customFormat="1" ht="21" x14ac:dyDescent="0.35">
      <c r="A1" s="552" t="s">
        <v>4</v>
      </c>
      <c r="B1" s="552"/>
      <c r="C1" s="552"/>
      <c r="D1" s="552"/>
      <c r="E1" s="552"/>
      <c r="F1" s="115"/>
      <c r="G1" s="115"/>
      <c r="H1" s="115"/>
      <c r="I1" s="115"/>
      <c r="J1" s="115"/>
      <c r="K1" s="115"/>
      <c r="L1" s="115"/>
      <c r="M1" s="115"/>
      <c r="N1" s="115"/>
      <c r="O1" s="115"/>
    </row>
    <row r="2" spans="1:15" s="118" customFormat="1" ht="15" x14ac:dyDescent="0.25">
      <c r="A2" s="105"/>
      <c r="B2" s="105"/>
      <c r="C2" s="105"/>
      <c r="D2" s="105"/>
      <c r="E2" s="105"/>
      <c r="F2" s="115"/>
      <c r="G2" s="115"/>
      <c r="H2" s="115"/>
      <c r="I2" s="115"/>
      <c r="J2" s="115"/>
      <c r="K2" s="115"/>
      <c r="L2" s="115"/>
      <c r="M2" s="115"/>
      <c r="N2" s="115"/>
      <c r="O2" s="115"/>
    </row>
    <row r="3" spans="1:15" s="118" customFormat="1" ht="15.75" x14ac:dyDescent="0.25">
      <c r="A3" s="106" t="s">
        <v>0</v>
      </c>
      <c r="B3" s="108">
        <f>'Summary - 1 Client name '!C3</f>
        <v>0</v>
      </c>
      <c r="C3" s="107"/>
      <c r="D3" s="107"/>
      <c r="E3" s="115"/>
      <c r="F3" s="115"/>
      <c r="G3" s="115"/>
      <c r="H3" s="115"/>
      <c r="I3" s="115"/>
      <c r="J3" s="115"/>
      <c r="K3" s="115"/>
      <c r="L3" s="115"/>
      <c r="M3" s="115"/>
      <c r="N3" s="115"/>
    </row>
    <row r="4" spans="1:15" s="118" customFormat="1" ht="15.75" x14ac:dyDescent="0.25">
      <c r="A4" s="106" t="s">
        <v>1</v>
      </c>
      <c r="B4" s="109">
        <f>'Summary - 1 Client name '!C4</f>
        <v>46203</v>
      </c>
      <c r="C4" s="106"/>
      <c r="D4" s="106"/>
      <c r="E4" s="115"/>
      <c r="F4" s="115"/>
      <c r="G4" s="115"/>
      <c r="H4" s="115"/>
      <c r="I4" s="115"/>
      <c r="J4" s="115"/>
      <c r="K4" s="115"/>
      <c r="L4" s="115"/>
      <c r="M4" s="115"/>
      <c r="N4" s="115"/>
    </row>
    <row r="5" spans="1:15" s="118" customFormat="1" ht="15.75" x14ac:dyDescent="0.25">
      <c r="A5" s="106" t="s">
        <v>2</v>
      </c>
      <c r="B5" s="106" t="s">
        <v>29</v>
      </c>
      <c r="C5" s="107"/>
      <c r="D5" s="107"/>
      <c r="E5" s="115"/>
      <c r="F5" s="115"/>
      <c r="G5" s="115"/>
      <c r="H5" s="115"/>
      <c r="I5" s="115"/>
      <c r="J5" s="115"/>
      <c r="K5" s="115"/>
      <c r="L5" s="115"/>
      <c r="M5" s="115"/>
      <c r="N5" s="115"/>
    </row>
    <row r="6" spans="1:15" s="118" customFormat="1" x14ac:dyDescent="0.2">
      <c r="A6" s="126"/>
      <c r="B6" s="126"/>
      <c r="C6" s="115"/>
      <c r="D6" s="115"/>
      <c r="E6" s="115"/>
      <c r="F6" s="115"/>
      <c r="G6" s="115"/>
      <c r="H6" s="115"/>
      <c r="I6" s="115"/>
      <c r="J6" s="115"/>
      <c r="K6" s="115"/>
      <c r="L6" s="115"/>
      <c r="M6" s="115"/>
      <c r="N6" s="115"/>
      <c r="O6" s="115"/>
    </row>
    <row r="7" spans="1:15" x14ac:dyDescent="0.2">
      <c r="A7" s="67"/>
      <c r="B7" s="67"/>
      <c r="C7" s="67"/>
      <c r="D7" s="67"/>
      <c r="E7" s="67"/>
      <c r="F7" s="67"/>
      <c r="G7" s="67"/>
      <c r="H7" s="67"/>
      <c r="I7" s="67"/>
      <c r="J7" s="67"/>
      <c r="K7" s="67"/>
      <c r="L7" s="67"/>
      <c r="M7" s="67"/>
      <c r="N7" s="67"/>
      <c r="O7" s="67"/>
    </row>
    <row r="8" spans="1:15" x14ac:dyDescent="0.2">
      <c r="A8" s="77"/>
      <c r="B8" s="74"/>
      <c r="C8" s="74"/>
      <c r="D8" s="74"/>
      <c r="E8" s="70"/>
      <c r="F8" s="75"/>
      <c r="G8" s="75"/>
      <c r="H8" s="75"/>
      <c r="I8" s="75"/>
      <c r="J8" s="75"/>
      <c r="K8" s="75"/>
      <c r="L8" s="75"/>
      <c r="M8" s="70"/>
      <c r="N8" s="76"/>
    </row>
    <row r="9" spans="1:15" ht="31.5" x14ac:dyDescent="0.2">
      <c r="A9" s="89" t="s">
        <v>338</v>
      </c>
      <c r="B9" s="98" t="s">
        <v>339</v>
      </c>
      <c r="C9" s="98" t="s">
        <v>340</v>
      </c>
      <c r="D9" s="97" t="s">
        <v>341</v>
      </c>
      <c r="E9" s="97" t="s">
        <v>101</v>
      </c>
      <c r="F9" s="79"/>
      <c r="H9" s="79"/>
      <c r="I9" s="79"/>
      <c r="J9" s="79"/>
      <c r="K9" s="79"/>
      <c r="L9" s="79"/>
      <c r="M9" s="80"/>
      <c r="N9" s="78"/>
    </row>
    <row r="10" spans="1:15" ht="15" x14ac:dyDescent="0.25">
      <c r="A10" s="120"/>
      <c r="B10" s="100">
        <v>0</v>
      </c>
      <c r="C10" s="101">
        <v>0</v>
      </c>
      <c r="D10" s="101">
        <f>IFERROR(B10/C10,0)</f>
        <v>0</v>
      </c>
      <c r="E10" s="122">
        <f>D10</f>
        <v>0</v>
      </c>
      <c r="F10" s="79"/>
      <c r="H10" s="79"/>
      <c r="I10" s="79"/>
      <c r="J10" s="79"/>
      <c r="K10" s="79"/>
      <c r="L10" s="79"/>
    </row>
    <row r="11" spans="1:15" ht="15" x14ac:dyDescent="0.25">
      <c r="A11" s="125"/>
      <c r="B11" s="101"/>
      <c r="C11" s="101"/>
      <c r="D11" s="101"/>
      <c r="E11" s="122">
        <v>0</v>
      </c>
      <c r="F11" s="79"/>
      <c r="H11" s="79"/>
      <c r="I11" s="79"/>
      <c r="J11" s="79"/>
      <c r="K11" s="79"/>
      <c r="L11" s="79"/>
    </row>
    <row r="12" spans="1:15" ht="15" x14ac:dyDescent="0.25">
      <c r="A12" s="120"/>
      <c r="B12" s="101"/>
      <c r="C12" s="101"/>
      <c r="D12" s="101"/>
      <c r="E12" s="122"/>
    </row>
    <row r="13" spans="1:15" ht="15" x14ac:dyDescent="0.25">
      <c r="A13" s="120"/>
      <c r="B13" s="101"/>
      <c r="C13" s="101"/>
      <c r="D13" s="101"/>
      <c r="E13" s="122"/>
    </row>
    <row r="14" spans="1:15" ht="15" x14ac:dyDescent="0.25">
      <c r="A14" s="120"/>
      <c r="B14" s="101"/>
      <c r="C14" s="101"/>
      <c r="D14" s="101"/>
      <c r="E14" s="122"/>
    </row>
    <row r="15" spans="1:15" ht="15" x14ac:dyDescent="0.25">
      <c r="A15" s="120"/>
      <c r="B15" s="101"/>
      <c r="C15" s="101"/>
      <c r="D15" s="101"/>
      <c r="E15" s="122"/>
    </row>
    <row r="16" spans="1:15" ht="15" x14ac:dyDescent="0.25">
      <c r="A16" s="120"/>
      <c r="B16" s="101"/>
      <c r="C16" s="101"/>
      <c r="D16" s="101"/>
      <c r="E16" s="122"/>
      <c r="F16" s="83"/>
      <c r="H16" s="83"/>
      <c r="I16" s="83"/>
      <c r="J16" s="83"/>
      <c r="K16" s="84"/>
      <c r="L16" s="81"/>
      <c r="N16" s="85"/>
    </row>
    <row r="17" spans="1:14" ht="15" x14ac:dyDescent="0.25">
      <c r="A17" s="120"/>
      <c r="B17" s="101"/>
      <c r="C17" s="101"/>
      <c r="D17" s="101"/>
      <c r="E17" s="122"/>
      <c r="F17" s="71"/>
      <c r="H17" s="86"/>
      <c r="J17" s="71"/>
      <c r="K17" s="86"/>
    </row>
    <row r="18" spans="1:14" ht="15" x14ac:dyDescent="0.25">
      <c r="A18" s="120"/>
      <c r="B18" s="101"/>
      <c r="C18" s="101"/>
      <c r="D18" s="102"/>
      <c r="E18" s="124"/>
      <c r="F18" s="72"/>
    </row>
    <row r="19" spans="1:14" s="69" customFormat="1" ht="15.75" thickBot="1" x14ac:dyDescent="0.3">
      <c r="A19" s="127" t="s">
        <v>342</v>
      </c>
      <c r="B19" s="128">
        <f>SUM(B11:B18)</f>
        <v>0</v>
      </c>
      <c r="C19" s="128"/>
      <c r="D19" s="128">
        <f>SUM(D10:D18)</f>
        <v>0</v>
      </c>
      <c r="E19" s="128">
        <f>SUM(E10:E18)</f>
        <v>0</v>
      </c>
      <c r="F19" s="129"/>
      <c r="N19" s="130"/>
    </row>
    <row r="20" spans="1:14" ht="13.5" thickTop="1" x14ac:dyDescent="0.2">
      <c r="A20" s="72"/>
      <c r="B20" s="72"/>
      <c r="C20" s="72"/>
      <c r="D20" s="72"/>
      <c r="F20" s="72"/>
    </row>
    <row r="21" spans="1:14" ht="15" x14ac:dyDescent="0.25">
      <c r="A21" s="99"/>
      <c r="B21" s="73"/>
      <c r="C21" s="73"/>
      <c r="D21" s="73"/>
      <c r="F21" s="72"/>
    </row>
    <row r="22" spans="1:14" x14ac:dyDescent="0.2">
      <c r="A22" s="69"/>
      <c r="F22" s="72"/>
    </row>
    <row r="23" spans="1:14" x14ac:dyDescent="0.2">
      <c r="A23" s="69" t="s">
        <v>253</v>
      </c>
      <c r="F23" s="72"/>
    </row>
    <row r="24" spans="1:14" x14ac:dyDescent="0.2">
      <c r="A24" s="68" t="s">
        <v>343</v>
      </c>
      <c r="E24" s="68" t="s">
        <v>19</v>
      </c>
      <c r="F24" s="87"/>
    </row>
    <row r="25" spans="1:14" x14ac:dyDescent="0.2">
      <c r="A25" s="68"/>
      <c r="F25" s="72"/>
    </row>
    <row r="26" spans="1:14" x14ac:dyDescent="0.2">
      <c r="A26" s="68"/>
    </row>
    <row r="27" spans="1:14" x14ac:dyDescent="0.2">
      <c r="A27" s="68"/>
    </row>
  </sheetData>
  <mergeCells count="1">
    <mergeCell ref="A1:E1"/>
  </mergeCells>
  <pageMargins left="0.75" right="0.75" top="1" bottom="1" header="0.5" footer="0.5"/>
  <pageSetup paperSize="9" scale="53" orientation="portrait" r:id="rId1"/>
  <headerFooter alignWithMargins="0">
    <oddFooter>&amp;L&amp;I&amp;10&amp;"Arial"Reference Number: 116977_1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</vt:i4>
      </vt:variant>
      <vt:variant>
        <vt:lpstr>Named Ranges</vt:lpstr>
      </vt:variant>
      <vt:variant>
        <vt:i4>3</vt:i4>
      </vt:variant>
    </vt:vector>
  </HeadingPairs>
  <TitlesOfParts>
    <vt:vector size="25" baseType="lpstr">
      <vt:lpstr>Review Notes</vt:lpstr>
      <vt:lpstr>Queries</vt:lpstr>
      <vt:lpstr>Summary - 1 Client name </vt:lpstr>
      <vt:lpstr>Deductions - 1 Client name </vt:lpstr>
      <vt:lpstr>Distributions</vt:lpstr>
      <vt:lpstr>Summary - 2 Client name </vt:lpstr>
      <vt:lpstr>Deductions - 2 Client name </vt:lpstr>
      <vt:lpstr>Home Office Expenses</vt:lpstr>
      <vt:lpstr>Depreciation schedule</vt:lpstr>
      <vt:lpstr>Dividend Summary Ind</vt:lpstr>
      <vt:lpstr>Income</vt:lpstr>
      <vt:lpstr>Share Register</vt:lpstr>
      <vt:lpstr>Motor Vehicle </vt:lpstr>
      <vt:lpstr>Business Summary</vt:lpstr>
      <vt:lpstr>Rental Property</vt:lpstr>
      <vt:lpstr>CGT Summary</vt:lpstr>
      <vt:lpstr>CGT Property</vt:lpstr>
      <vt:lpstr>Other Reconciliation</vt:lpstr>
      <vt:lpstr>Dividend Summary Joint</vt:lpstr>
      <vt:lpstr>BAS Summary</vt:lpstr>
      <vt:lpstr>Client Data</vt:lpstr>
      <vt:lpstr>Foreign Income</vt:lpstr>
      <vt:lpstr>'Foreign Income'!Print_Area</vt:lpstr>
      <vt:lpstr>'Summary - 1 Client name '!Print_Area</vt:lpstr>
      <vt:lpstr>'Summary - 2 Client name 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Rahul Agarwal</dc:creator>
  <cp:keywords/>
  <dc:description/>
  <cp:lastModifiedBy>Jake Carter</cp:lastModifiedBy>
  <cp:revision/>
  <dcterms:created xsi:type="dcterms:W3CDTF">2014-01-08T22:59:43Z</dcterms:created>
  <dcterms:modified xsi:type="dcterms:W3CDTF">2026-08-24T07:04:23Z</dcterms:modified>
  <cp:category/>
  <cp:contentStatus/>
</cp:coreProperties>
</file>